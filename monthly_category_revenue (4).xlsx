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a190c192cf5500/Desktop/BigBasket_Category_Performance/"/>
    </mc:Choice>
  </mc:AlternateContent>
  <xr:revisionPtr revIDLastSave="1" documentId="11_9378350333F7A51C0806B344166D7E1E9D4A7031" xr6:coauthVersionLast="47" xr6:coauthVersionMax="47" xr10:uidLastSave="{C74E998E-D8A2-42FC-9967-9B085C3DDD70}"/>
  <bookViews>
    <workbookView xWindow="-108" yWindow="-108" windowWidth="23256" windowHeight="12456" xr2:uid="{00000000-000D-0000-FFFF-FFFF00000000}"/>
  </bookViews>
  <sheets>
    <sheet name="monthly_category_revenue" sheetId="1" r:id="rId1"/>
    <sheet name="Pivot Table 2" sheetId="2" r:id="rId2"/>
    <sheet name="Detail1" sheetId="3" r:id="rId3"/>
    <sheet name="Pivot Table 1" sheetId="4" r:id="rId4"/>
    <sheet name="Sheet1" sheetId="5" r:id="rId5"/>
    <sheet name="Sheet2" sheetId="6" r:id="rId6"/>
  </sheets>
  <calcPr calcId="191029"/>
  <pivotCaches>
    <pivotCache cacheId="6" r:id="rId7"/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F7" i="6" s="1"/>
  <c r="C6" i="6"/>
  <c r="F6" i="6" s="1"/>
  <c r="C5" i="6"/>
  <c r="F5" i="6" s="1"/>
  <c r="C4" i="6"/>
  <c r="F4" i="6" s="1"/>
  <c r="C3" i="6"/>
  <c r="F3" i="6" s="1"/>
  <c r="C2" i="6"/>
  <c r="F2" i="6" s="1"/>
  <c r="C7" i="5"/>
  <c r="C6" i="5"/>
  <c r="C5" i="5"/>
  <c r="C4" i="5"/>
  <c r="C3" i="5"/>
  <c r="C2" i="5"/>
  <c r="D2" i="6" l="1"/>
  <c r="D4" i="6"/>
  <c r="D6" i="6"/>
  <c r="E2" i="6"/>
  <c r="E4" i="6"/>
  <c r="E6" i="6"/>
  <c r="D3" i="6"/>
  <c r="D5" i="6"/>
  <c r="D7" i="6"/>
  <c r="E3" i="6"/>
  <c r="E5" i="6"/>
  <c r="E7" i="6"/>
</calcChain>
</file>

<file path=xl/sharedStrings.xml><?xml version="1.0" encoding="utf-8"?>
<sst xmlns="http://schemas.openxmlformats.org/spreadsheetml/2006/main" count="128" uniqueCount="28">
  <si>
    <t>category</t>
  </si>
  <si>
    <t>month</t>
  </si>
  <si>
    <t>total_order</t>
  </si>
  <si>
    <t>total_revenue</t>
  </si>
  <si>
    <t>avg_revenue</t>
  </si>
  <si>
    <t xml:space="preserve"> 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</si>
  <si>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</si>
  <si>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</si>
  <si>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</si>
  <si>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</si>
  <si>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</si>
  <si>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</si>
  <si>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Bakery Total</t>
  </si>
  <si>
    <t>Dairy &amp; Eggs Total</t>
  </si>
  <si>
    <t>Fruits &amp; Vegetables Total</t>
  </si>
  <si>
    <t>Household Essentials Total</t>
  </si>
  <si>
    <t>Personal Care Total</t>
  </si>
  <si>
    <t>Snacks &amp; Beverages Total</t>
  </si>
  <si>
    <t>Grand Total</t>
  </si>
  <si>
    <t>target\_revenue\_inr"</t>
  </si>
  <si>
    <t>actual\_revenue</t>
  </si>
  <si>
    <t>Variance</t>
  </si>
  <si>
    <t>Percentage Variance</t>
  </si>
  <si>
    <t>Nested IF</t>
  </si>
  <si>
    <t>Match Part 1</t>
  </si>
  <si>
    <t>Yes</t>
  </si>
  <si>
    <t>(blank)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</si>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</sst>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0" fontId="1" fillId="0" borderId="0" xfId="0" applyNumberFormat="1" applyFont="1"/>
    <xf numFmtId="0" fontId="0" fillId="0" borderId="7" xfId="0" pivotButton="1" applyFont="1" applyBorder="1" applyAlignment="1"/>
    <xf numFmtId="0" fontId="0" fillId="0" borderId="8" xfId="0" pivotButton="1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</cellXfs>
  <cellStyles count="1">
    <cellStyle name="Normal" xfId="0" builtinId="0"/>
  </cellStyles>
  <dxfs count="6">
    <dxf>
      <fill>
        <patternFill patternType="solid">
          <fgColor rgb="FFEA4335"/>
          <bgColor rgb="FFEA4335"/>
        </patternFill>
      </fill>
    </dxf>
    <dxf>
      <fill>
        <patternFill patternType="solid">
          <fgColor theme="6"/>
          <bgColor theme="6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kash raj" refreshedDate="46279.531508333333" refreshedVersion="8" recordCount="36" xr:uid="{00000000-000A-0000-FFFF-FFFF01000000}">
  <cacheSource type="worksheet">
    <worksheetSource ref="A1:E37" sheet="monthly_category_revenue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NonDate="0" containsDate="1" containsString="0" minDate="2026-01-01T00:00:00" maxDate="2026-06-02T00:00:00"/>
    </cacheField>
    <cacheField name="total_order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 count="35">
        <n v="735"/>
        <n v="2440"/>
        <n v="3090"/>
        <n v="3115"/>
        <n v="3695"/>
        <n v="2335"/>
        <n v="2035"/>
        <n v="1935"/>
        <n v="3163"/>
        <n v="1650"/>
        <n v="3479"/>
        <n v="1828"/>
        <n v="1290"/>
        <n v="2090"/>
        <n v="2080"/>
        <n v="1400"/>
        <n v="1870"/>
        <n v="1060"/>
        <n v="2099"/>
        <n v="5113"/>
        <n v="1885"/>
        <n v="5491"/>
        <n v="3477"/>
        <n v="3650"/>
        <n v="3608"/>
        <n v="2177"/>
        <n v="2807"/>
        <n v="1970"/>
        <n v="3045"/>
        <n v="2775"/>
        <n v="1330"/>
        <n v="1670"/>
        <n v="2980"/>
        <n v="1665"/>
        <n v="1960"/>
      </sharedItems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kash raj" refreshedDate="46279.531508564818" refreshedVersion="8" recordCount="38" xr:uid="{00000000-000A-0000-FFFF-FFFF00000000}">
  <cacheSource type="worksheet">
    <worksheetSource ref="A1:Z1000" sheet="monthly_category_revenue"/>
  </cacheSource>
  <cacheFields count="26">
    <cacheField name="category" numFmtId="0">
      <sharedItems containsBlank="1" count="7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NonDate="0" containsDate="1" containsString="0" containsBlank="1" minDate="2026-01-01T00:00:00" maxDate="2026-06-02T00:00:00"/>
    </cacheField>
    <cacheField name="total_order" numFmtId="0">
      <sharedItems containsString="0" containsBlank="1" containsNumber="1" containsInteger="1" minValue="6" maxValue="19"/>
    </cacheField>
    <cacheField name="total_revenue" numFmtId="0">
      <sharedItems containsString="0" containsBlank="1" containsNumber="1" containsInteger="1" minValue="735" maxValue="5491" count="36">
        <n v="735"/>
        <n v="2440"/>
        <n v="3090"/>
        <n v="3115"/>
        <n v="3695"/>
        <n v="2335"/>
        <n v="2035"/>
        <n v="1935"/>
        <n v="3163"/>
        <n v="1650"/>
        <n v="3479"/>
        <n v="1828"/>
        <n v="1290"/>
        <n v="2090"/>
        <n v="2080"/>
        <n v="1400"/>
        <n v="1870"/>
        <n v="1060"/>
        <n v="2099"/>
        <n v="5113"/>
        <n v="1885"/>
        <n v="5491"/>
        <n v="3477"/>
        <n v="3650"/>
        <n v="3608"/>
        <n v="2177"/>
        <n v="2807"/>
        <n v="1970"/>
        <n v="3045"/>
        <n v="2775"/>
        <n v="1330"/>
        <n v="1670"/>
        <n v="2980"/>
        <n v="1665"/>
        <n v="1960"/>
        <m/>
      </sharedItems>
    </cacheField>
    <cacheField name="avg_revenue" numFmtId="0">
      <sharedItems containsString="0" containsBlank="1" containsNumber="1" minValue="100" maxValue="323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  <cacheField name=" 19" numFmtId="0">
      <sharedItems containsNonDate="0" containsString="0" containsBlank="1"/>
    </cacheField>
    <cacheField name=" 20" numFmtId="0">
      <sharedItems containsNonDate="0" containsString="0" containsBlank="1"/>
    </cacheField>
    <cacheField name=" 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d v="2026-01-01T00:00:00"/>
    <n v="6"/>
    <x v="0"/>
    <n v="122.5"/>
  </r>
  <r>
    <x v="0"/>
    <d v="2026-02-01T00:00:00"/>
    <n v="8"/>
    <x v="1"/>
    <n v="305"/>
  </r>
  <r>
    <x v="0"/>
    <d v="2026-03-01T00:00:00"/>
    <n v="11"/>
    <x v="2"/>
    <n v="280.90909090909099"/>
  </r>
  <r>
    <x v="0"/>
    <d v="2026-04-01T00:00:00"/>
    <n v="13"/>
    <x v="3"/>
    <n v="239.61538461538501"/>
  </r>
  <r>
    <x v="0"/>
    <d v="2026-05-01T00:00:00"/>
    <n v="15"/>
    <x v="4"/>
    <n v="246.333333333333"/>
  </r>
  <r>
    <x v="0"/>
    <d v="2026-06-01T00:00:00"/>
    <n v="14"/>
    <x v="5"/>
    <n v="166.78571428571399"/>
  </r>
  <r>
    <x v="1"/>
    <d v="2026-01-01T00:00:00"/>
    <n v="9"/>
    <x v="6"/>
    <n v="226.111111111111"/>
  </r>
  <r>
    <x v="1"/>
    <d v="2026-02-01T00:00:00"/>
    <n v="8"/>
    <x v="7"/>
    <n v="241.875"/>
  </r>
  <r>
    <x v="1"/>
    <d v="2026-03-01T00:00:00"/>
    <n v="15"/>
    <x v="8"/>
    <n v="210.86666666666699"/>
  </r>
  <r>
    <x v="1"/>
    <d v="2026-04-01T00:00:00"/>
    <n v="9"/>
    <x v="9"/>
    <n v="183.333333333333"/>
  </r>
  <r>
    <x v="1"/>
    <d v="2026-05-01T00:00:00"/>
    <n v="14"/>
    <x v="10"/>
    <n v="248.5"/>
  </r>
  <r>
    <x v="1"/>
    <d v="2026-06-01T00:00:00"/>
    <n v="11"/>
    <x v="11"/>
    <n v="166.18181818181799"/>
  </r>
  <r>
    <x v="2"/>
    <d v="2026-01-01T00:00:00"/>
    <n v="12"/>
    <x v="12"/>
    <n v="107.5"/>
  </r>
  <r>
    <x v="2"/>
    <d v="2026-02-01T00:00:00"/>
    <n v="13"/>
    <x v="13"/>
    <n v="160.769230769231"/>
  </r>
  <r>
    <x v="2"/>
    <d v="2026-03-01T00:00:00"/>
    <n v="13"/>
    <x v="14"/>
    <n v="160"/>
  </r>
  <r>
    <x v="2"/>
    <d v="2026-04-01T00:00:00"/>
    <n v="14"/>
    <x v="15"/>
    <n v="100"/>
  </r>
  <r>
    <x v="2"/>
    <d v="2026-05-01T00:00:00"/>
    <n v="12"/>
    <x v="16"/>
    <n v="155.833333333333"/>
  </r>
  <r>
    <x v="2"/>
    <d v="2026-06-01T00:00:00"/>
    <n v="9"/>
    <x v="17"/>
    <n v="117.777777777778"/>
  </r>
  <r>
    <x v="3"/>
    <d v="2026-01-01T00:00:00"/>
    <n v="10"/>
    <x v="18"/>
    <n v="209.9"/>
  </r>
  <r>
    <x v="3"/>
    <d v="2026-02-01T00:00:00"/>
    <n v="16"/>
    <x v="19"/>
    <n v="319.5625"/>
  </r>
  <r>
    <x v="3"/>
    <d v="2026-03-01T00:00:00"/>
    <n v="8"/>
    <x v="20"/>
    <n v="235.625"/>
  </r>
  <r>
    <x v="3"/>
    <d v="2026-04-01T00:00:00"/>
    <n v="17"/>
    <x v="21"/>
    <n v="323"/>
  </r>
  <r>
    <x v="3"/>
    <d v="2026-05-01T00:00:00"/>
    <n v="16"/>
    <x v="22"/>
    <n v="217.3125"/>
  </r>
  <r>
    <x v="3"/>
    <d v="2026-06-01T00:00:00"/>
    <n v="12"/>
    <x v="23"/>
    <n v="304.16666666666703"/>
  </r>
  <r>
    <x v="4"/>
    <d v="2026-01-01T00:00:00"/>
    <n v="12"/>
    <x v="24"/>
    <n v="300.66666666666703"/>
  </r>
  <r>
    <x v="4"/>
    <d v="2026-02-01T00:00:00"/>
    <n v="8"/>
    <x v="25"/>
    <n v="272.125"/>
  </r>
  <r>
    <x v="4"/>
    <d v="2026-03-01T00:00:00"/>
    <n v="11"/>
    <x v="26"/>
    <n v="255.18181818181799"/>
  </r>
  <r>
    <x v="4"/>
    <d v="2026-04-01T00:00:00"/>
    <n v="9"/>
    <x v="27"/>
    <n v="218.888888888889"/>
  </r>
  <r>
    <x v="4"/>
    <d v="2026-05-01T00:00:00"/>
    <n v="13"/>
    <x v="28"/>
    <n v="234.230769230769"/>
  </r>
  <r>
    <x v="4"/>
    <d v="2026-06-01T00:00:00"/>
    <n v="13"/>
    <x v="29"/>
    <n v="213.461538461538"/>
  </r>
  <r>
    <x v="5"/>
    <d v="2026-01-01T00:00:00"/>
    <n v="10"/>
    <x v="12"/>
    <n v="129"/>
  </r>
  <r>
    <x v="5"/>
    <d v="2026-02-01T00:00:00"/>
    <n v="11"/>
    <x v="30"/>
    <n v="120.90909090909101"/>
  </r>
  <r>
    <x v="5"/>
    <d v="2026-03-01T00:00:00"/>
    <n v="15"/>
    <x v="31"/>
    <n v="111.333333333333"/>
  </r>
  <r>
    <x v="5"/>
    <d v="2026-04-01T00:00:00"/>
    <n v="19"/>
    <x v="32"/>
    <n v="156.842105263158"/>
  </r>
  <r>
    <x v="5"/>
    <d v="2026-05-01T00:00:00"/>
    <n v="13"/>
    <x v="33"/>
    <n v="128.07692307692301"/>
  </r>
  <r>
    <x v="5"/>
    <d v="2026-06-01T00:00:00"/>
    <n v="15"/>
    <x v="34"/>
    <n v="130.6666666666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d v="2026-01-01T00:00:00"/>
    <n v="6"/>
    <x v="0"/>
    <n v="122.5"/>
    <m/>
    <m/>
    <m/>
    <m/>
    <m/>
    <m/>
    <m/>
    <m/>
    <m/>
    <m/>
    <m/>
    <m/>
    <m/>
    <m/>
    <m/>
    <m/>
    <m/>
    <m/>
    <m/>
    <m/>
    <m/>
  </r>
  <r>
    <x v="0"/>
    <d v="2026-02-01T00:00:00"/>
    <n v="8"/>
    <x v="1"/>
    <n v="305"/>
    <m/>
    <m/>
    <m/>
    <m/>
    <m/>
    <m/>
    <m/>
    <m/>
    <m/>
    <m/>
    <m/>
    <m/>
    <m/>
    <m/>
    <m/>
    <m/>
    <m/>
    <m/>
    <m/>
    <m/>
    <m/>
  </r>
  <r>
    <x v="0"/>
    <d v="2026-03-01T00:00:00"/>
    <n v="11"/>
    <x v="2"/>
    <n v="280.90909090909099"/>
    <m/>
    <m/>
    <m/>
    <m/>
    <m/>
    <m/>
    <m/>
    <m/>
    <m/>
    <m/>
    <m/>
    <m/>
    <m/>
    <m/>
    <m/>
    <m/>
    <m/>
    <m/>
    <m/>
    <m/>
    <m/>
  </r>
  <r>
    <x v="0"/>
    <d v="2026-04-01T00:00:00"/>
    <n v="13"/>
    <x v="3"/>
    <n v="239.61538461538501"/>
    <m/>
    <m/>
    <m/>
    <m/>
    <m/>
    <m/>
    <m/>
    <m/>
    <m/>
    <m/>
    <m/>
    <m/>
    <m/>
    <m/>
    <m/>
    <m/>
    <m/>
    <m/>
    <m/>
    <m/>
    <m/>
  </r>
  <r>
    <x v="0"/>
    <d v="2026-05-01T00:00:00"/>
    <n v="15"/>
    <x v="4"/>
    <n v="246.333333333333"/>
    <m/>
    <m/>
    <m/>
    <m/>
    <m/>
    <m/>
    <m/>
    <m/>
    <m/>
    <m/>
    <m/>
    <m/>
    <m/>
    <m/>
    <m/>
    <m/>
    <m/>
    <m/>
    <m/>
    <m/>
    <m/>
  </r>
  <r>
    <x v="0"/>
    <d v="2026-06-01T00:00:00"/>
    <n v="14"/>
    <x v="5"/>
    <n v="166.78571428571399"/>
    <m/>
    <m/>
    <m/>
    <m/>
    <m/>
    <m/>
    <m/>
    <m/>
    <m/>
    <m/>
    <m/>
    <m/>
    <m/>
    <m/>
    <m/>
    <m/>
    <m/>
    <m/>
    <m/>
    <m/>
    <m/>
  </r>
  <r>
    <x v="1"/>
    <d v="2026-01-01T00:00:00"/>
    <n v="9"/>
    <x v="6"/>
    <n v="226.111111111111"/>
    <m/>
    <m/>
    <m/>
    <m/>
    <m/>
    <m/>
    <m/>
    <m/>
    <m/>
    <m/>
    <m/>
    <m/>
    <m/>
    <m/>
    <m/>
    <m/>
    <m/>
    <m/>
    <m/>
    <m/>
    <m/>
  </r>
  <r>
    <x v="1"/>
    <d v="2026-02-01T00:00:00"/>
    <n v="8"/>
    <x v="7"/>
    <n v="241.875"/>
    <m/>
    <m/>
    <m/>
    <m/>
    <m/>
    <m/>
    <m/>
    <m/>
    <m/>
    <m/>
    <m/>
    <m/>
    <m/>
    <m/>
    <m/>
    <m/>
    <m/>
    <m/>
    <m/>
    <m/>
    <m/>
  </r>
  <r>
    <x v="1"/>
    <d v="2026-03-01T00:00:00"/>
    <n v="15"/>
    <x v="8"/>
    <n v="210.86666666666699"/>
    <m/>
    <m/>
    <m/>
    <m/>
    <m/>
    <m/>
    <m/>
    <m/>
    <m/>
    <m/>
    <m/>
    <m/>
    <m/>
    <m/>
    <m/>
    <m/>
    <m/>
    <m/>
    <m/>
    <m/>
    <m/>
  </r>
  <r>
    <x v="1"/>
    <d v="2026-04-01T00:00:00"/>
    <n v="9"/>
    <x v="9"/>
    <n v="183.333333333333"/>
    <m/>
    <m/>
    <m/>
    <m/>
    <m/>
    <m/>
    <m/>
    <m/>
    <m/>
    <m/>
    <m/>
    <m/>
    <m/>
    <m/>
    <m/>
    <m/>
    <m/>
    <m/>
    <m/>
    <m/>
    <m/>
  </r>
  <r>
    <x v="1"/>
    <d v="2026-05-01T00:00:00"/>
    <n v="14"/>
    <x v="10"/>
    <n v="248.5"/>
    <m/>
    <m/>
    <m/>
    <m/>
    <m/>
    <m/>
    <m/>
    <m/>
    <m/>
    <m/>
    <m/>
    <m/>
    <m/>
    <m/>
    <m/>
    <m/>
    <m/>
    <m/>
    <m/>
    <m/>
    <m/>
  </r>
  <r>
    <x v="1"/>
    <d v="2026-06-01T00:00:00"/>
    <n v="11"/>
    <x v="11"/>
    <n v="166.18181818181799"/>
    <m/>
    <m/>
    <m/>
    <m/>
    <m/>
    <m/>
    <m/>
    <m/>
    <m/>
    <m/>
    <m/>
    <m/>
    <m/>
    <m/>
    <m/>
    <m/>
    <m/>
    <m/>
    <m/>
    <m/>
    <m/>
  </r>
  <r>
    <x v="2"/>
    <d v="2026-01-01T00:00:00"/>
    <n v="12"/>
    <x v="12"/>
    <n v="107.5"/>
    <m/>
    <m/>
    <m/>
    <m/>
    <m/>
    <m/>
    <m/>
    <m/>
    <m/>
    <m/>
    <m/>
    <m/>
    <m/>
    <m/>
    <m/>
    <m/>
    <m/>
    <m/>
    <m/>
    <m/>
    <m/>
  </r>
  <r>
    <x v="2"/>
    <d v="2026-02-01T00:00:00"/>
    <n v="13"/>
    <x v="13"/>
    <n v="160.769230769231"/>
    <m/>
    <m/>
    <m/>
    <m/>
    <m/>
    <m/>
    <m/>
    <m/>
    <m/>
    <m/>
    <m/>
    <m/>
    <m/>
    <m/>
    <m/>
    <m/>
    <m/>
    <m/>
    <m/>
    <m/>
    <m/>
  </r>
  <r>
    <x v="2"/>
    <d v="2026-03-01T00:00:00"/>
    <n v="13"/>
    <x v="14"/>
    <n v="160"/>
    <m/>
    <m/>
    <m/>
    <m/>
    <m/>
    <m/>
    <m/>
    <m/>
    <m/>
    <m/>
    <m/>
    <m/>
    <m/>
    <m/>
    <m/>
    <m/>
    <m/>
    <m/>
    <m/>
    <m/>
    <m/>
  </r>
  <r>
    <x v="2"/>
    <d v="2026-04-01T00:00:00"/>
    <n v="14"/>
    <x v="15"/>
    <n v="100"/>
    <m/>
    <m/>
    <m/>
    <m/>
    <m/>
    <m/>
    <m/>
    <m/>
    <m/>
    <m/>
    <m/>
    <m/>
    <m/>
    <m/>
    <m/>
    <m/>
    <m/>
    <m/>
    <m/>
    <m/>
    <m/>
  </r>
  <r>
    <x v="2"/>
    <d v="2026-05-01T00:00:00"/>
    <n v="12"/>
    <x v="16"/>
    <n v="155.833333333333"/>
    <m/>
    <m/>
    <m/>
    <m/>
    <m/>
    <m/>
    <m/>
    <m/>
    <m/>
    <m/>
    <m/>
    <m/>
    <m/>
    <m/>
    <m/>
    <m/>
    <m/>
    <m/>
    <m/>
    <m/>
    <m/>
  </r>
  <r>
    <x v="2"/>
    <d v="2026-06-01T00:00:00"/>
    <n v="9"/>
    <x v="17"/>
    <n v="117.777777777778"/>
    <m/>
    <m/>
    <m/>
    <m/>
    <m/>
    <m/>
    <m/>
    <m/>
    <m/>
    <m/>
    <m/>
    <m/>
    <m/>
    <m/>
    <m/>
    <m/>
    <m/>
    <m/>
    <m/>
    <m/>
    <m/>
  </r>
  <r>
    <x v="3"/>
    <d v="2026-01-01T00:00:00"/>
    <n v="10"/>
    <x v="18"/>
    <n v="209.9"/>
    <m/>
    <m/>
    <m/>
    <m/>
    <m/>
    <m/>
    <m/>
    <m/>
    <m/>
    <m/>
    <m/>
    <m/>
    <m/>
    <m/>
    <m/>
    <m/>
    <m/>
    <m/>
    <m/>
    <m/>
    <m/>
  </r>
  <r>
    <x v="3"/>
    <d v="2026-02-01T00:00:00"/>
    <n v="16"/>
    <x v="19"/>
    <n v="319.5625"/>
    <m/>
    <m/>
    <m/>
    <m/>
    <m/>
    <m/>
    <m/>
    <m/>
    <m/>
    <m/>
    <m/>
    <m/>
    <m/>
    <m/>
    <m/>
    <m/>
    <m/>
    <m/>
    <m/>
    <m/>
    <m/>
  </r>
  <r>
    <x v="3"/>
    <d v="2026-03-01T00:00:00"/>
    <n v="8"/>
    <x v="20"/>
    <n v="235.625"/>
    <m/>
    <m/>
    <m/>
    <m/>
    <m/>
    <m/>
    <m/>
    <m/>
    <m/>
    <m/>
    <m/>
    <m/>
    <m/>
    <m/>
    <m/>
    <m/>
    <m/>
    <m/>
    <m/>
    <m/>
    <m/>
  </r>
  <r>
    <x v="3"/>
    <d v="2026-04-01T00:00:00"/>
    <n v="17"/>
    <x v="21"/>
    <n v="323"/>
    <m/>
    <m/>
    <m/>
    <m/>
    <m/>
    <m/>
    <m/>
    <m/>
    <m/>
    <m/>
    <m/>
    <m/>
    <m/>
    <m/>
    <m/>
    <m/>
    <m/>
    <m/>
    <m/>
    <m/>
    <m/>
  </r>
  <r>
    <x v="3"/>
    <d v="2026-05-01T00:00:00"/>
    <n v="16"/>
    <x v="22"/>
    <n v="217.3125"/>
    <m/>
    <m/>
    <m/>
    <m/>
    <m/>
    <m/>
    <m/>
    <m/>
    <m/>
    <m/>
    <m/>
    <m/>
    <m/>
    <m/>
    <m/>
    <m/>
    <m/>
    <m/>
    <m/>
    <m/>
    <m/>
  </r>
  <r>
    <x v="3"/>
    <d v="2026-06-01T00:00:00"/>
    <n v="12"/>
    <x v="23"/>
    <n v="304.16666666666703"/>
    <m/>
    <m/>
    <m/>
    <m/>
    <m/>
    <m/>
    <m/>
    <m/>
    <m/>
    <m/>
    <m/>
    <m/>
    <m/>
    <m/>
    <m/>
    <m/>
    <m/>
    <m/>
    <m/>
    <m/>
    <m/>
  </r>
  <r>
    <x v="4"/>
    <d v="2026-01-01T00:00:00"/>
    <n v="12"/>
    <x v="24"/>
    <n v="300.66666666666703"/>
    <m/>
    <m/>
    <m/>
    <m/>
    <m/>
    <m/>
    <m/>
    <m/>
    <m/>
    <m/>
    <m/>
    <m/>
    <m/>
    <m/>
    <m/>
    <m/>
    <m/>
    <m/>
    <m/>
    <m/>
    <m/>
  </r>
  <r>
    <x v="4"/>
    <d v="2026-02-01T00:00:00"/>
    <n v="8"/>
    <x v="25"/>
    <n v="272.125"/>
    <m/>
    <m/>
    <m/>
    <m/>
    <m/>
    <m/>
    <m/>
    <m/>
    <m/>
    <m/>
    <m/>
    <m/>
    <m/>
    <m/>
    <m/>
    <m/>
    <m/>
    <m/>
    <m/>
    <m/>
    <m/>
  </r>
  <r>
    <x v="4"/>
    <d v="2026-03-01T00:00:00"/>
    <n v="11"/>
    <x v="26"/>
    <n v="255.18181818181799"/>
    <m/>
    <m/>
    <m/>
    <m/>
    <m/>
    <m/>
    <m/>
    <m/>
    <m/>
    <m/>
    <m/>
    <m/>
    <m/>
    <m/>
    <m/>
    <m/>
    <m/>
    <m/>
    <m/>
    <m/>
    <m/>
  </r>
  <r>
    <x v="4"/>
    <d v="2026-04-01T00:00:00"/>
    <n v="9"/>
    <x v="27"/>
    <n v="218.888888888889"/>
    <m/>
    <m/>
    <m/>
    <m/>
    <m/>
    <m/>
    <m/>
    <m/>
    <m/>
    <m/>
    <m/>
    <m/>
    <m/>
    <m/>
    <m/>
    <m/>
    <m/>
    <m/>
    <m/>
    <m/>
    <m/>
  </r>
  <r>
    <x v="4"/>
    <d v="2026-05-01T00:00:00"/>
    <n v="13"/>
    <x v="28"/>
    <n v="234.230769230769"/>
    <m/>
    <m/>
    <m/>
    <m/>
    <m/>
    <m/>
    <m/>
    <m/>
    <m/>
    <m/>
    <m/>
    <m/>
    <m/>
    <m/>
    <m/>
    <m/>
    <m/>
    <m/>
    <m/>
    <m/>
    <m/>
  </r>
  <r>
    <x v="4"/>
    <d v="2026-06-01T00:00:00"/>
    <n v="13"/>
    <x v="29"/>
    <n v="213.461538461538"/>
    <m/>
    <m/>
    <m/>
    <m/>
    <m/>
    <m/>
    <m/>
    <m/>
    <m/>
    <m/>
    <m/>
    <m/>
    <m/>
    <m/>
    <m/>
    <m/>
    <m/>
    <m/>
    <m/>
    <m/>
    <m/>
  </r>
  <r>
    <x v="5"/>
    <d v="2026-01-01T00:00:00"/>
    <n v="10"/>
    <x v="12"/>
    <n v="129"/>
    <m/>
    <m/>
    <m/>
    <m/>
    <m/>
    <m/>
    <m/>
    <m/>
    <m/>
    <m/>
    <m/>
    <m/>
    <m/>
    <m/>
    <m/>
    <m/>
    <m/>
    <m/>
    <m/>
    <m/>
    <m/>
  </r>
  <r>
    <x v="5"/>
    <d v="2026-02-01T00:00:00"/>
    <n v="11"/>
    <x v="30"/>
    <n v="120.90909090909101"/>
    <m/>
    <m/>
    <m/>
    <m/>
    <m/>
    <m/>
    <m/>
    <m/>
    <m/>
    <m/>
    <m/>
    <m/>
    <m/>
    <m/>
    <m/>
    <m/>
    <m/>
    <m/>
    <m/>
    <m/>
    <m/>
  </r>
  <r>
    <x v="5"/>
    <d v="2026-03-01T00:00:00"/>
    <n v="15"/>
    <x v="31"/>
    <n v="111.333333333333"/>
    <m/>
    <m/>
    <m/>
    <m/>
    <m/>
    <m/>
    <m/>
    <m/>
    <m/>
    <m/>
    <m/>
    <m/>
    <m/>
    <m/>
    <m/>
    <m/>
    <m/>
    <m/>
    <m/>
    <m/>
    <m/>
  </r>
  <r>
    <x v="5"/>
    <d v="2026-04-01T00:00:00"/>
    <n v="19"/>
    <x v="32"/>
    <n v="156.842105263158"/>
    <m/>
    <m/>
    <m/>
    <m/>
    <m/>
    <m/>
    <m/>
    <m/>
    <m/>
    <m/>
    <m/>
    <m/>
    <m/>
    <m/>
    <m/>
    <m/>
    <m/>
    <m/>
    <m/>
    <m/>
    <m/>
  </r>
  <r>
    <x v="5"/>
    <d v="2026-05-01T00:00:00"/>
    <n v="13"/>
    <x v="33"/>
    <n v="128.07692307692301"/>
    <m/>
    <m/>
    <m/>
    <m/>
    <m/>
    <m/>
    <m/>
    <m/>
    <m/>
    <m/>
    <m/>
    <m/>
    <m/>
    <m/>
    <m/>
    <m/>
    <m/>
    <m/>
    <m/>
    <m/>
    <m/>
  </r>
  <r>
    <x v="5"/>
    <d v="2026-06-01T00:00:00"/>
    <n v="15"/>
    <x v="34"/>
    <n v="130.666666666667"/>
    <m/>
    <m/>
    <m/>
    <m/>
    <m/>
    <m/>
    <m/>
    <m/>
    <m/>
    <m/>
    <m/>
    <m/>
    <m/>
    <m/>
    <m/>
    <m/>
    <m/>
    <m/>
    <m/>
    <m/>
    <m/>
  </r>
  <r>
    <x v="6"/>
    <m/>
    <m/>
    <x v="35"/>
    <m/>
    <m/>
    <m/>
    <m/>
    <m/>
    <m/>
    <m/>
    <m/>
    <m/>
    <m/>
    <m/>
    <m/>
    <m/>
    <m/>
    <m/>
    <m/>
    <m/>
    <m/>
    <m/>
    <m/>
    <m/>
    <m/>
  </r>
  <r>
    <x v="6"/>
    <m/>
    <m/>
    <x v="3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" cacheId="11" applyNumberFormats="0" applyBorderFormats="0" applyFontFormats="0" applyPatternFormats="0" applyAlignmentFormats="0" applyWidthHeightFormats="0" dataCaption="" updatedVersion="8" compact="0" compactData="0">
  <location ref="A1:B46" firstHeaderRow="1" firstDataRow="1" firstDataCol="2"/>
  <pivotFields count="26">
    <pivotField name="category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month" compact="0" numFmtId="164" outline="0" multipleItemSelectionAllowed="1" showAll="0"/>
    <pivotField name="total_order" compact="0" outline="0" multipleItemSelectionAllowed="1" showAll="0"/>
    <pivotField name="total_revenue" axis="axisRow" compact="0" outline="0" multipleItemSelectionAllowed="1" showAll="0" sortType="ascending">
      <items count="37"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x="35"/>
        <item t="default"/>
      </items>
    </pivotField>
    <pivotField name="avg_revenue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  <pivotField name=" 21" compact="0" outline="0" multipleItemSelectionAllowed="1" showAll="0"/>
  </pivotFields>
  <rowFields count="2">
    <field x="0"/>
    <field x="3"/>
  </rowFields>
  <rowItems count="45">
    <i>
      <x/>
      <x/>
    </i>
    <i r="1">
      <x v="19"/>
    </i>
    <i r="1">
      <x v="20"/>
    </i>
    <i r="1">
      <x v="25"/>
    </i>
    <i r="1">
      <x v="26"/>
    </i>
    <i r="1">
      <x v="32"/>
    </i>
    <i t="default">
      <x/>
    </i>
    <i>
      <x v="1"/>
      <x v="5"/>
    </i>
    <i r="1">
      <x v="8"/>
    </i>
    <i r="1">
      <x v="11"/>
    </i>
    <i r="1">
      <x v="14"/>
    </i>
    <i r="1">
      <x v="27"/>
    </i>
    <i r="1">
      <x v="29"/>
    </i>
    <i t="default">
      <x v="1"/>
    </i>
    <i>
      <x v="2"/>
      <x v="1"/>
    </i>
    <i r="1">
      <x v="2"/>
    </i>
    <i r="1">
      <x v="4"/>
    </i>
    <i r="1">
      <x v="9"/>
    </i>
    <i r="1">
      <x v="15"/>
    </i>
    <i r="1">
      <x v="16"/>
    </i>
    <i t="default">
      <x v="2"/>
    </i>
    <i>
      <x v="3"/>
      <x v="10"/>
    </i>
    <i r="1">
      <x v="17"/>
    </i>
    <i r="1">
      <x v="28"/>
    </i>
    <i r="1">
      <x v="31"/>
    </i>
    <i r="1">
      <x v="33"/>
    </i>
    <i r="1">
      <x v="34"/>
    </i>
    <i t="default">
      <x v="3"/>
    </i>
    <i>
      <x v="4"/>
      <x v="13"/>
    </i>
    <i r="1">
      <x v="18"/>
    </i>
    <i r="1">
      <x v="21"/>
    </i>
    <i r="1">
      <x v="22"/>
    </i>
    <i r="1">
      <x v="24"/>
    </i>
    <i r="1">
      <x v="30"/>
    </i>
    <i t="default">
      <x v="4"/>
    </i>
    <i>
      <x v="5"/>
      <x v="2"/>
    </i>
    <i r="1">
      <x v="3"/>
    </i>
    <i r="1">
      <x v="6"/>
    </i>
    <i r="1">
      <x v="7"/>
    </i>
    <i r="1">
      <x v="12"/>
    </i>
    <i r="1">
      <x v="23"/>
    </i>
    <i t="default">
      <x v="5"/>
    </i>
    <i>
      <x v="6"/>
      <x v="35"/>
    </i>
    <i t="default">
      <x v="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 Table 1" cacheId="6" applyNumberFormats="0" applyBorderFormats="0" applyFontFormats="0" applyPatternFormats="0" applyAlignmentFormats="0" applyWidthHeightFormats="0" dataCaption="" updatedVersion="8" compact="0" compactData="0">
  <location ref="A1:B44" firstHeaderRow="1" firstDataRow="1" firstDataCol="2"/>
  <pivotFields count="5">
    <pivotField name="category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/>
    <pivotField name="total_order" compact="0" outline="0" multipleItemSelectionAllowed="1" showAll="0"/>
    <pivotField name="total_revenue" axis="axisRow" compact="0" outline="0" multipleItemSelectionAllowed="1" showAll="0" sortType="ascending">
      <items count="36"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t="default"/>
      </items>
    </pivotField>
    <pivotField name="avg_revenue" compact="0" outline="0" multipleItemSelectionAllowed="1" showAll="0"/>
  </pivotFields>
  <rowFields count="2">
    <field x="0"/>
    <field x="3"/>
  </rowFields>
  <rowItems count="43">
    <i>
      <x/>
      <x/>
    </i>
    <i r="1">
      <x v="19"/>
    </i>
    <i r="1">
      <x v="20"/>
    </i>
    <i r="1">
      <x v="25"/>
    </i>
    <i r="1">
      <x v="26"/>
    </i>
    <i r="1">
      <x v="32"/>
    </i>
    <i t="default">
      <x/>
    </i>
    <i>
      <x v="1"/>
      <x v="5"/>
    </i>
    <i r="1">
      <x v="8"/>
    </i>
    <i r="1">
      <x v="11"/>
    </i>
    <i r="1">
      <x v="14"/>
    </i>
    <i r="1">
      <x v="27"/>
    </i>
    <i r="1">
      <x v="29"/>
    </i>
    <i t="default">
      <x v="1"/>
    </i>
    <i>
      <x v="2"/>
      <x v="1"/>
    </i>
    <i r="1">
      <x v="2"/>
    </i>
    <i r="1">
      <x v="4"/>
    </i>
    <i r="1">
      <x v="9"/>
    </i>
    <i r="1">
      <x v="15"/>
    </i>
    <i r="1">
      <x v="16"/>
    </i>
    <i t="default">
      <x v="2"/>
    </i>
    <i>
      <x v="3"/>
      <x v="10"/>
    </i>
    <i r="1">
      <x v="17"/>
    </i>
    <i r="1">
      <x v="28"/>
    </i>
    <i r="1">
      <x v="31"/>
    </i>
    <i r="1">
      <x v="33"/>
    </i>
    <i r="1">
      <x v="34"/>
    </i>
    <i t="default">
      <x v="3"/>
    </i>
    <i>
      <x v="4"/>
      <x v="13"/>
    </i>
    <i r="1">
      <x v="18"/>
    </i>
    <i r="1">
      <x v="21"/>
    </i>
    <i r="1">
      <x v="22"/>
    </i>
    <i r="1">
      <x v="24"/>
    </i>
    <i r="1">
      <x v="30"/>
    </i>
    <i t="default">
      <x v="4"/>
    </i>
    <i>
      <x v="5"/>
      <x v="2"/>
    </i>
    <i r="1">
      <x v="3"/>
    </i>
    <i r="1">
      <x v="6"/>
    </i>
    <i r="1">
      <x v="7"/>
    </i>
    <i r="1">
      <x v="12"/>
    </i>
    <i r="1">
      <x v="23"/>
    </i>
    <i t="default">
      <x v="5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964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Detail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 spans="1:26" x14ac:dyDescent="0.25">
      <c r="A2" s="1" t="s">
        <v>6</v>
      </c>
      <c r="B2" s="3">
        <v>46023</v>
      </c>
      <c r="C2" s="1">
        <v>6</v>
      </c>
      <c r="D2" s="1">
        <v>735</v>
      </c>
      <c r="E2" s="1">
        <v>122.5</v>
      </c>
    </row>
    <row r="3" spans="1:26" x14ac:dyDescent="0.25">
      <c r="A3" s="1" t="s">
        <v>6</v>
      </c>
      <c r="B3" s="3">
        <v>46054</v>
      </c>
      <c r="C3" s="1">
        <v>8</v>
      </c>
      <c r="D3" s="1">
        <v>2440</v>
      </c>
      <c r="E3" s="1">
        <v>305</v>
      </c>
    </row>
    <row r="4" spans="1:26" x14ac:dyDescent="0.25">
      <c r="A4" s="1" t="s">
        <v>6</v>
      </c>
      <c r="B4" s="3">
        <v>46082</v>
      </c>
      <c r="C4" s="1">
        <v>11</v>
      </c>
      <c r="D4" s="1">
        <v>3090</v>
      </c>
      <c r="E4" s="1">
        <v>280.90909090909099</v>
      </c>
    </row>
    <row r="5" spans="1:26" x14ac:dyDescent="0.25">
      <c r="A5" s="1" t="s">
        <v>6</v>
      </c>
      <c r="B5" s="3">
        <v>46113</v>
      </c>
      <c r="C5" s="1">
        <v>13</v>
      </c>
      <c r="D5" s="1">
        <v>3115</v>
      </c>
      <c r="E5" s="1">
        <v>239.61538461538501</v>
      </c>
    </row>
    <row r="6" spans="1:26" x14ac:dyDescent="0.25">
      <c r="A6" s="1" t="s">
        <v>6</v>
      </c>
      <c r="B6" s="3">
        <v>46143</v>
      </c>
      <c r="C6" s="1">
        <v>15</v>
      </c>
      <c r="D6" s="1">
        <v>3695</v>
      </c>
      <c r="E6" s="1">
        <v>246.333333333333</v>
      </c>
    </row>
    <row r="7" spans="1:26" x14ac:dyDescent="0.25">
      <c r="A7" s="1" t="s">
        <v>6</v>
      </c>
      <c r="B7" s="3">
        <v>46174</v>
      </c>
      <c r="C7" s="1">
        <v>14</v>
      </c>
      <c r="D7" s="1">
        <v>2335</v>
      </c>
      <c r="E7" s="1">
        <v>166.78571428571399</v>
      </c>
    </row>
    <row r="8" spans="1:26" x14ac:dyDescent="0.25">
      <c r="A8" s="1" t="s">
        <v>7</v>
      </c>
      <c r="B8" s="3">
        <v>46023</v>
      </c>
      <c r="C8" s="1">
        <v>9</v>
      </c>
      <c r="D8" s="1">
        <v>2035</v>
      </c>
      <c r="E8" s="1">
        <v>226.111111111111</v>
      </c>
    </row>
    <row r="9" spans="1:26" x14ac:dyDescent="0.25">
      <c r="A9" s="1" t="s">
        <v>7</v>
      </c>
      <c r="B9" s="3">
        <v>46054</v>
      </c>
      <c r="C9" s="1">
        <v>8</v>
      </c>
      <c r="D9" s="1">
        <v>1935</v>
      </c>
      <c r="E9" s="1">
        <v>241.875</v>
      </c>
    </row>
    <row r="10" spans="1:26" x14ac:dyDescent="0.25">
      <c r="A10" s="1" t="s">
        <v>7</v>
      </c>
      <c r="B10" s="3">
        <v>46082</v>
      </c>
      <c r="C10" s="1">
        <v>15</v>
      </c>
      <c r="D10" s="1">
        <v>3163</v>
      </c>
      <c r="E10" s="1">
        <v>210.86666666666699</v>
      </c>
    </row>
    <row r="11" spans="1:26" x14ac:dyDescent="0.25">
      <c r="A11" s="1" t="s">
        <v>7</v>
      </c>
      <c r="B11" s="3">
        <v>46113</v>
      </c>
      <c r="C11" s="1">
        <v>9</v>
      </c>
      <c r="D11" s="1">
        <v>1650</v>
      </c>
      <c r="E11" s="1">
        <v>183.333333333333</v>
      </c>
    </row>
    <row r="12" spans="1:26" x14ac:dyDescent="0.25">
      <c r="A12" s="1" t="s">
        <v>7</v>
      </c>
      <c r="B12" s="3">
        <v>46143</v>
      </c>
      <c r="C12" s="1">
        <v>14</v>
      </c>
      <c r="D12" s="1">
        <v>3479</v>
      </c>
      <c r="E12" s="1">
        <v>248.5</v>
      </c>
    </row>
    <row r="13" spans="1:26" x14ac:dyDescent="0.25">
      <c r="A13" s="1" t="s">
        <v>7</v>
      </c>
      <c r="B13" s="3">
        <v>46174</v>
      </c>
      <c r="C13" s="1">
        <v>11</v>
      </c>
      <c r="D13" s="1">
        <v>1828</v>
      </c>
      <c r="E13" s="1">
        <v>166.18181818181799</v>
      </c>
    </row>
    <row r="14" spans="1:26" x14ac:dyDescent="0.25">
      <c r="A14" s="1" t="s">
        <v>8</v>
      </c>
      <c r="B14" s="3">
        <v>46023</v>
      </c>
      <c r="C14" s="1">
        <v>12</v>
      </c>
      <c r="D14" s="1">
        <v>1290</v>
      </c>
      <c r="E14" s="1">
        <v>107.5</v>
      </c>
    </row>
    <row r="15" spans="1:26" x14ac:dyDescent="0.25">
      <c r="A15" s="1" t="s">
        <v>8</v>
      </c>
      <c r="B15" s="3">
        <v>46054</v>
      </c>
      <c r="C15" s="1">
        <v>13</v>
      </c>
      <c r="D15" s="1">
        <v>2090</v>
      </c>
      <c r="E15" s="1">
        <v>160.769230769231</v>
      </c>
    </row>
    <row r="16" spans="1:26" x14ac:dyDescent="0.25">
      <c r="A16" s="1" t="s">
        <v>8</v>
      </c>
      <c r="B16" s="3">
        <v>46082</v>
      </c>
      <c r="C16" s="1">
        <v>13</v>
      </c>
      <c r="D16" s="1">
        <v>2080</v>
      </c>
      <c r="E16" s="1">
        <v>160</v>
      </c>
    </row>
    <row r="17" spans="1:5" x14ac:dyDescent="0.25">
      <c r="A17" s="1" t="s">
        <v>8</v>
      </c>
      <c r="B17" s="3">
        <v>46113</v>
      </c>
      <c r="C17" s="1">
        <v>14</v>
      </c>
      <c r="D17" s="1">
        <v>1400</v>
      </c>
      <c r="E17" s="1">
        <v>100</v>
      </c>
    </row>
    <row r="18" spans="1:5" x14ac:dyDescent="0.25">
      <c r="A18" s="1" t="s">
        <v>8</v>
      </c>
      <c r="B18" s="3">
        <v>46143</v>
      </c>
      <c r="C18" s="1">
        <v>12</v>
      </c>
      <c r="D18" s="1">
        <v>1870</v>
      </c>
      <c r="E18" s="1">
        <v>155.833333333333</v>
      </c>
    </row>
    <row r="19" spans="1:5" x14ac:dyDescent="0.25">
      <c r="A19" s="1" t="s">
        <v>8</v>
      </c>
      <c r="B19" s="3">
        <v>46174</v>
      </c>
      <c r="C19" s="1">
        <v>9</v>
      </c>
      <c r="D19" s="1">
        <v>1060</v>
      </c>
      <c r="E19" s="1">
        <v>117.777777777778</v>
      </c>
    </row>
    <row r="20" spans="1:5" x14ac:dyDescent="0.25">
      <c r="A20" s="1" t="s">
        <v>9</v>
      </c>
      <c r="B20" s="3">
        <v>46023</v>
      </c>
      <c r="C20" s="1">
        <v>10</v>
      </c>
      <c r="D20" s="1">
        <v>2099</v>
      </c>
      <c r="E20" s="1">
        <v>209.9</v>
      </c>
    </row>
    <row r="21" spans="1:5" x14ac:dyDescent="0.25">
      <c r="A21" s="1" t="s">
        <v>9</v>
      </c>
      <c r="B21" s="3">
        <v>46054</v>
      </c>
      <c r="C21" s="1">
        <v>16</v>
      </c>
      <c r="D21" s="1">
        <v>5113</v>
      </c>
      <c r="E21" s="1">
        <v>319.5625</v>
      </c>
    </row>
    <row r="22" spans="1:5" x14ac:dyDescent="0.25">
      <c r="A22" s="1" t="s">
        <v>9</v>
      </c>
      <c r="B22" s="3">
        <v>46082</v>
      </c>
      <c r="C22" s="1">
        <v>8</v>
      </c>
      <c r="D22" s="1">
        <v>1885</v>
      </c>
      <c r="E22" s="1">
        <v>235.625</v>
      </c>
    </row>
    <row r="23" spans="1:5" x14ac:dyDescent="0.25">
      <c r="A23" s="1" t="s">
        <v>9</v>
      </c>
      <c r="B23" s="3">
        <v>46113</v>
      </c>
      <c r="C23" s="1">
        <v>17</v>
      </c>
      <c r="D23" s="1">
        <v>5491</v>
      </c>
      <c r="E23" s="1">
        <v>323</v>
      </c>
    </row>
    <row r="24" spans="1:5" x14ac:dyDescent="0.25">
      <c r="A24" s="1" t="s">
        <v>9</v>
      </c>
      <c r="B24" s="3">
        <v>46143</v>
      </c>
      <c r="C24" s="1">
        <v>16</v>
      </c>
      <c r="D24" s="1">
        <v>3477</v>
      </c>
      <c r="E24" s="1">
        <v>217.3125</v>
      </c>
    </row>
    <row r="25" spans="1:5" x14ac:dyDescent="0.25">
      <c r="A25" s="1" t="s">
        <v>9</v>
      </c>
      <c r="B25" s="3">
        <v>46174</v>
      </c>
      <c r="C25" s="1">
        <v>12</v>
      </c>
      <c r="D25" s="1">
        <v>3650</v>
      </c>
      <c r="E25" s="1">
        <v>304.16666666666703</v>
      </c>
    </row>
    <row r="26" spans="1:5" x14ac:dyDescent="0.25">
      <c r="A26" s="1" t="s">
        <v>10</v>
      </c>
      <c r="B26" s="3">
        <v>46023</v>
      </c>
      <c r="C26" s="1">
        <v>12</v>
      </c>
      <c r="D26" s="1">
        <v>3608</v>
      </c>
      <c r="E26" s="1">
        <v>300.66666666666703</v>
      </c>
    </row>
    <row r="27" spans="1:5" x14ac:dyDescent="0.25">
      <c r="A27" s="1" t="s">
        <v>10</v>
      </c>
      <c r="B27" s="3">
        <v>46054</v>
      </c>
      <c r="C27" s="1">
        <v>8</v>
      </c>
      <c r="D27" s="1">
        <v>2177</v>
      </c>
      <c r="E27" s="1">
        <v>272.125</v>
      </c>
    </row>
    <row r="28" spans="1:5" x14ac:dyDescent="0.25">
      <c r="A28" s="1" t="s">
        <v>10</v>
      </c>
      <c r="B28" s="3">
        <v>46082</v>
      </c>
      <c r="C28" s="1">
        <v>11</v>
      </c>
      <c r="D28" s="1">
        <v>2807</v>
      </c>
      <c r="E28" s="1">
        <v>255.18181818181799</v>
      </c>
    </row>
    <row r="29" spans="1:5" x14ac:dyDescent="0.25">
      <c r="A29" s="1" t="s">
        <v>10</v>
      </c>
      <c r="B29" s="3">
        <v>46113</v>
      </c>
      <c r="C29" s="1">
        <v>9</v>
      </c>
      <c r="D29" s="1">
        <v>1970</v>
      </c>
      <c r="E29" s="1">
        <v>218.888888888889</v>
      </c>
    </row>
    <row r="30" spans="1:5" x14ac:dyDescent="0.25">
      <c r="A30" s="1" t="s">
        <v>10</v>
      </c>
      <c r="B30" s="3">
        <v>46143</v>
      </c>
      <c r="C30" s="1">
        <v>13</v>
      </c>
      <c r="D30" s="1">
        <v>3045</v>
      </c>
      <c r="E30" s="1">
        <v>234.230769230769</v>
      </c>
    </row>
    <row r="31" spans="1:5" x14ac:dyDescent="0.25">
      <c r="A31" s="1" t="s">
        <v>10</v>
      </c>
      <c r="B31" s="3">
        <v>46174</v>
      </c>
      <c r="C31" s="1">
        <v>13</v>
      </c>
      <c r="D31" s="1">
        <v>2775</v>
      </c>
      <c r="E31" s="1">
        <v>213.461538461538</v>
      </c>
    </row>
    <row r="32" spans="1:5" x14ac:dyDescent="0.25">
      <c r="A32" s="1" t="s">
        <v>11</v>
      </c>
      <c r="B32" s="3">
        <v>46023</v>
      </c>
      <c r="C32" s="1">
        <v>10</v>
      </c>
      <c r="D32" s="1">
        <v>1290</v>
      </c>
      <c r="E32" s="1">
        <v>129</v>
      </c>
    </row>
    <row r="33" spans="1:5" x14ac:dyDescent="0.25">
      <c r="A33" s="1" t="s">
        <v>11</v>
      </c>
      <c r="B33" s="3">
        <v>46054</v>
      </c>
      <c r="C33" s="1">
        <v>11</v>
      </c>
      <c r="D33" s="1">
        <v>1330</v>
      </c>
      <c r="E33" s="1">
        <v>120.90909090909101</v>
      </c>
    </row>
    <row r="34" spans="1:5" x14ac:dyDescent="0.25">
      <c r="A34" s="1" t="s">
        <v>11</v>
      </c>
      <c r="B34" s="3">
        <v>46082</v>
      </c>
      <c r="C34" s="1">
        <v>15</v>
      </c>
      <c r="D34" s="1">
        <v>1670</v>
      </c>
      <c r="E34" s="1">
        <v>111.333333333333</v>
      </c>
    </row>
    <row r="35" spans="1:5" x14ac:dyDescent="0.25">
      <c r="A35" s="1" t="s">
        <v>11</v>
      </c>
      <c r="B35" s="3">
        <v>46113</v>
      </c>
      <c r="C35" s="1">
        <v>19</v>
      </c>
      <c r="D35" s="1">
        <v>2980</v>
      </c>
      <c r="E35" s="1">
        <v>156.842105263158</v>
      </c>
    </row>
    <row r="36" spans="1:5" x14ac:dyDescent="0.25">
      <c r="A36" s="1" t="s">
        <v>11</v>
      </c>
      <c r="B36" s="3">
        <v>46143</v>
      </c>
      <c r="C36" s="1">
        <v>13</v>
      </c>
      <c r="D36" s="1">
        <v>1665</v>
      </c>
      <c r="E36" s="1">
        <v>128.07692307692301</v>
      </c>
    </row>
    <row r="37" spans="1:5" x14ac:dyDescent="0.25">
      <c r="A37" s="1" t="s">
        <v>11</v>
      </c>
      <c r="B37" s="3">
        <v>46174</v>
      </c>
      <c r="C37" s="1">
        <v>15</v>
      </c>
      <c r="D37" s="1">
        <v>1960</v>
      </c>
      <c r="E37" s="1">
        <v>130.666666666667</v>
      </c>
    </row>
    <row r="38" spans="1:5" x14ac:dyDescent="0.25">
      <c r="B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6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2" t="s">
        <v>0</v>
      </c>
      <c r="B1" s="13" t="s">
        <v>3</v>
      </c>
    </row>
    <row r="2" spans="1:2" x14ac:dyDescent="0.25">
      <c r="A2" s="14" t="s">
        <v>6</v>
      </c>
      <c r="B2" s="15">
        <v>735</v>
      </c>
    </row>
    <row r="3" spans="1:2" x14ac:dyDescent="0.25">
      <c r="A3" s="16"/>
      <c r="B3" s="17">
        <v>2335</v>
      </c>
    </row>
    <row r="4" spans="1:2" x14ac:dyDescent="0.25">
      <c r="A4" s="16"/>
      <c r="B4" s="17">
        <v>2440</v>
      </c>
    </row>
    <row r="5" spans="1:2" x14ac:dyDescent="0.25">
      <c r="A5" s="16"/>
      <c r="B5" s="17">
        <v>3090</v>
      </c>
    </row>
    <row r="6" spans="1:2" x14ac:dyDescent="0.25">
      <c r="A6" s="16"/>
      <c r="B6" s="17">
        <v>3115</v>
      </c>
    </row>
    <row r="7" spans="1:2" x14ac:dyDescent="0.25">
      <c r="A7" s="16"/>
      <c r="B7" s="17">
        <v>3695</v>
      </c>
    </row>
    <row r="8" spans="1:2" x14ac:dyDescent="0.25">
      <c r="A8" s="14" t="s">
        <v>12</v>
      </c>
      <c r="B8" s="18"/>
    </row>
    <row r="9" spans="1:2" x14ac:dyDescent="0.25">
      <c r="A9" s="14" t="s">
        <v>7</v>
      </c>
      <c r="B9" s="15">
        <v>1650</v>
      </c>
    </row>
    <row r="10" spans="1:2" x14ac:dyDescent="0.25">
      <c r="A10" s="16"/>
      <c r="B10" s="17">
        <v>1828</v>
      </c>
    </row>
    <row r="11" spans="1:2" x14ac:dyDescent="0.25">
      <c r="A11" s="16"/>
      <c r="B11" s="17">
        <v>1935</v>
      </c>
    </row>
    <row r="12" spans="1:2" x14ac:dyDescent="0.25">
      <c r="A12" s="16"/>
      <c r="B12" s="17">
        <v>2035</v>
      </c>
    </row>
    <row r="13" spans="1:2" x14ac:dyDescent="0.25">
      <c r="A13" s="16"/>
      <c r="B13" s="17">
        <v>3163</v>
      </c>
    </row>
    <row r="14" spans="1:2" x14ac:dyDescent="0.25">
      <c r="A14" s="16"/>
      <c r="B14" s="17">
        <v>3479</v>
      </c>
    </row>
    <row r="15" spans="1:2" x14ac:dyDescent="0.25">
      <c r="A15" s="14" t="s">
        <v>13</v>
      </c>
      <c r="B15" s="18"/>
    </row>
    <row r="16" spans="1:2" x14ac:dyDescent="0.25">
      <c r="A16" s="14" t="s">
        <v>8</v>
      </c>
      <c r="B16" s="15">
        <v>1060</v>
      </c>
    </row>
    <row r="17" spans="1:2" x14ac:dyDescent="0.25">
      <c r="A17" s="16"/>
      <c r="B17" s="17">
        <v>1290</v>
      </c>
    </row>
    <row r="18" spans="1:2" x14ac:dyDescent="0.25">
      <c r="A18" s="16"/>
      <c r="B18" s="17">
        <v>1400</v>
      </c>
    </row>
    <row r="19" spans="1:2" x14ac:dyDescent="0.25">
      <c r="A19" s="16"/>
      <c r="B19" s="17">
        <v>1870</v>
      </c>
    </row>
    <row r="20" spans="1:2" x14ac:dyDescent="0.25">
      <c r="A20" s="16"/>
      <c r="B20" s="17">
        <v>2080</v>
      </c>
    </row>
    <row r="21" spans="1:2" x14ac:dyDescent="0.25">
      <c r="A21" s="16"/>
      <c r="B21" s="17">
        <v>2090</v>
      </c>
    </row>
    <row r="22" spans="1:2" x14ac:dyDescent="0.25">
      <c r="A22" s="14" t="s">
        <v>14</v>
      </c>
      <c r="B22" s="18"/>
    </row>
    <row r="23" spans="1:2" x14ac:dyDescent="0.25">
      <c r="A23" s="14" t="s">
        <v>9</v>
      </c>
      <c r="B23" s="15">
        <v>1885</v>
      </c>
    </row>
    <row r="24" spans="1:2" x14ac:dyDescent="0.25">
      <c r="A24" s="16"/>
      <c r="B24" s="17">
        <v>2099</v>
      </c>
    </row>
    <row r="25" spans="1:2" x14ac:dyDescent="0.25">
      <c r="A25" s="16"/>
      <c r="B25" s="17">
        <v>3477</v>
      </c>
    </row>
    <row r="26" spans="1:2" x14ac:dyDescent="0.25">
      <c r="A26" s="16"/>
      <c r="B26" s="17">
        <v>3650</v>
      </c>
    </row>
    <row r="27" spans="1:2" x14ac:dyDescent="0.25">
      <c r="A27" s="16"/>
      <c r="B27" s="17">
        <v>5113</v>
      </c>
    </row>
    <row r="28" spans="1:2" x14ac:dyDescent="0.25">
      <c r="A28" s="16"/>
      <c r="B28" s="17">
        <v>5491</v>
      </c>
    </row>
    <row r="29" spans="1:2" x14ac:dyDescent="0.25">
      <c r="A29" s="14" t="s">
        <v>15</v>
      </c>
      <c r="B29" s="18"/>
    </row>
    <row r="30" spans="1:2" x14ac:dyDescent="0.25">
      <c r="A30" s="14" t="s">
        <v>10</v>
      </c>
      <c r="B30" s="15">
        <v>1970</v>
      </c>
    </row>
    <row r="31" spans="1:2" x14ac:dyDescent="0.25">
      <c r="A31" s="16"/>
      <c r="B31" s="17">
        <v>2177</v>
      </c>
    </row>
    <row r="32" spans="1:2" x14ac:dyDescent="0.25">
      <c r="A32" s="16"/>
      <c r="B32" s="17">
        <v>2775</v>
      </c>
    </row>
    <row r="33" spans="1:2" x14ac:dyDescent="0.25">
      <c r="A33" s="16"/>
      <c r="B33" s="17">
        <v>2807</v>
      </c>
    </row>
    <row r="34" spans="1:2" x14ac:dyDescent="0.25">
      <c r="A34" s="16"/>
      <c r="B34" s="17">
        <v>3045</v>
      </c>
    </row>
    <row r="35" spans="1:2" x14ac:dyDescent="0.25">
      <c r="A35" s="16"/>
      <c r="B35" s="17">
        <v>3608</v>
      </c>
    </row>
    <row r="36" spans="1:2" x14ac:dyDescent="0.25">
      <c r="A36" s="14" t="s">
        <v>16</v>
      </c>
      <c r="B36" s="18"/>
    </row>
    <row r="37" spans="1:2" x14ac:dyDescent="0.25">
      <c r="A37" s="14" t="s">
        <v>11</v>
      </c>
      <c r="B37" s="15">
        <v>1290</v>
      </c>
    </row>
    <row r="38" spans="1:2" x14ac:dyDescent="0.25">
      <c r="A38" s="16"/>
      <c r="B38" s="17">
        <v>1330</v>
      </c>
    </row>
    <row r="39" spans="1:2" x14ac:dyDescent="0.25">
      <c r="A39" s="16"/>
      <c r="B39" s="17">
        <v>1665</v>
      </c>
    </row>
    <row r="40" spans="1:2" x14ac:dyDescent="0.25">
      <c r="A40" s="16"/>
      <c r="B40" s="17">
        <v>1670</v>
      </c>
    </row>
    <row r="41" spans="1:2" x14ac:dyDescent="0.25">
      <c r="A41" s="16"/>
      <c r="B41" s="17">
        <v>1960</v>
      </c>
    </row>
    <row r="42" spans="1:2" x14ac:dyDescent="0.25">
      <c r="A42" s="16"/>
      <c r="B42" s="17">
        <v>2980</v>
      </c>
    </row>
    <row r="43" spans="1:2" x14ac:dyDescent="0.25">
      <c r="A43" s="14" t="s">
        <v>17</v>
      </c>
      <c r="B43" s="18"/>
    </row>
    <row r="44" spans="1:2" x14ac:dyDescent="0.25">
      <c r="A44" s="14" t="s">
        <v>26</v>
      </c>
      <c r="B44" s="15" t="s">
        <v>26</v>
      </c>
    </row>
    <row r="45" spans="1:2" x14ac:dyDescent="0.25">
      <c r="A45" s="14" t="s">
        <v>27</v>
      </c>
      <c r="B45" s="18"/>
    </row>
    <row r="46" spans="1:2" x14ac:dyDescent="0.25">
      <c r="A46" s="19" t="s">
        <v>18</v>
      </c>
      <c r="B4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6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 spans="1:26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 spans="1:26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 spans="1:26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spans="1:26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 spans="1:26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spans="1:26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 spans="1:26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 spans="1:26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 spans="1:26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 spans="1:26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 spans="1:26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spans="1:26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 spans="1:26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 spans="1:26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1:26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 spans="1:26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 spans="1:26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spans="1:26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 spans="1:26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spans="1:26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 spans="1:26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 spans="1:26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 spans="1:26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spans="1:26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1:26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1:26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spans="1:26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spans="1:26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 spans="1:26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spans="1:26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 spans="1:26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spans="1:26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spans="1:26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spans="1:26" x14ac:dyDescent="0.25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spans="1:26" x14ac:dyDescent="0.2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spans="1:26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 spans="1:26" x14ac:dyDescent="0.2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spans="1:26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 spans="1:26" x14ac:dyDescent="0.2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spans="1:26" x14ac:dyDescent="0.2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 spans="1:26" x14ac:dyDescent="0.2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 spans="1:26" x14ac:dyDescent="0.2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 spans="1:26" x14ac:dyDescent="0.2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 spans="1:26" x14ac:dyDescent="0.25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 spans="1:26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 spans="1:26" x14ac:dyDescent="0.25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</row>
    <row r="51" spans="1:26" x14ac:dyDescent="0.25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 spans="1:26" x14ac:dyDescent="0.25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</row>
    <row r="53" spans="1:26" x14ac:dyDescent="0.25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 spans="1:26" x14ac:dyDescent="0.25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</row>
    <row r="55" spans="1:26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</row>
    <row r="56" spans="1:26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</row>
    <row r="57" spans="1:26" x14ac:dyDescent="0.25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 spans="1:26" x14ac:dyDescent="0.25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</row>
    <row r="59" spans="1:26" x14ac:dyDescent="0.25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 spans="1:26" x14ac:dyDescent="0.25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</row>
    <row r="61" spans="1:26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 spans="1:26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 spans="1:26" x14ac:dyDescent="0.2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 spans="1:26" x14ac:dyDescent="0.2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 spans="1:26" x14ac:dyDescent="0.2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 spans="1:26" x14ac:dyDescent="0.2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 spans="1:26" x14ac:dyDescent="0.25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 spans="1:26" x14ac:dyDescent="0.2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 spans="1:26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spans="1:26" x14ac:dyDescent="0.25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 spans="1:26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 spans="1:26" x14ac:dyDescent="0.25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 spans="1:26" x14ac:dyDescent="0.25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 spans="1:26" x14ac:dyDescent="0.25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 spans="1:26" x14ac:dyDescent="0.2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 spans="1:26" x14ac:dyDescent="0.2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 spans="1:26" x14ac:dyDescent="0.25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spans="1:26" x14ac:dyDescent="0.25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 spans="1:26" x14ac:dyDescent="0.25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 spans="1:26" x14ac:dyDescent="0.25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 spans="1:26" x14ac:dyDescent="0.25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spans="1:26" x14ac:dyDescent="0.25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 spans="1:26" x14ac:dyDescent="0.25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spans="1:26" x14ac:dyDescent="0.2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 spans="1:26" x14ac:dyDescent="0.2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spans="1:26" x14ac:dyDescent="0.2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 spans="1:26" x14ac:dyDescent="0.25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spans="1:26" x14ac:dyDescent="0.2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 spans="1:26" x14ac:dyDescent="0.25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 spans="1:26" x14ac:dyDescent="0.2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spans="1:26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 spans="1:26" x14ac:dyDescent="0.25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spans="1:26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 spans="1:26" x14ac:dyDescent="0.2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spans="1:26" x14ac:dyDescent="0.25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 spans="1:26" x14ac:dyDescent="0.25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spans="1:26" x14ac:dyDescent="0.25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 spans="1:26" x14ac:dyDescent="0.25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spans="1:26" x14ac:dyDescent="0.25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 spans="1:26" x14ac:dyDescent="0.25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spans="1:26" x14ac:dyDescent="0.2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 spans="1:26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spans="1:26" x14ac:dyDescent="0.25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 spans="1:26" x14ac:dyDescent="0.2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spans="1:26" x14ac:dyDescent="0.2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 spans="1:26" x14ac:dyDescent="0.2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spans="1:26" x14ac:dyDescent="0.25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 spans="1:26" x14ac:dyDescent="0.25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spans="1:26" x14ac:dyDescent="0.25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 spans="1:26" x14ac:dyDescent="0.25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spans="1:26" x14ac:dyDescent="0.2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 spans="1:26" x14ac:dyDescent="0.25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spans="1:26" x14ac:dyDescent="0.25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 spans="1:26" x14ac:dyDescent="0.2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spans="1:26" x14ac:dyDescent="0.2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 spans="1:26" x14ac:dyDescent="0.25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spans="1:26" x14ac:dyDescent="0.25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 spans="1:26" x14ac:dyDescent="0.25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spans="1:26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 spans="1:26" x14ac:dyDescent="0.25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spans="1:26" x14ac:dyDescent="0.25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 spans="1:26" x14ac:dyDescent="0.25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spans="1:26" x14ac:dyDescent="0.25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 spans="1:26" x14ac:dyDescent="0.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spans="1:26" x14ac:dyDescent="0.25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 spans="1:26" x14ac:dyDescent="0.25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spans="1:26" x14ac:dyDescent="0.25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 spans="1:26" x14ac:dyDescent="0.2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spans="1:26" x14ac:dyDescent="0.2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 spans="1:26" x14ac:dyDescent="0.2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spans="1:26" x14ac:dyDescent="0.2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 spans="1:26" x14ac:dyDescent="0.2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spans="1:26" x14ac:dyDescent="0.25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 spans="1:26" x14ac:dyDescent="0.2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spans="1:26" x14ac:dyDescent="0.25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 spans="1:26" x14ac:dyDescent="0.25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spans="1:26" x14ac:dyDescent="0.25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 spans="1:26" x14ac:dyDescent="0.25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spans="1:26" x14ac:dyDescent="0.25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 spans="1:26" x14ac:dyDescent="0.25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spans="1:26" x14ac:dyDescent="0.25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 spans="1:26" x14ac:dyDescent="0.25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spans="1:26" x14ac:dyDescent="0.25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 spans="1:26" x14ac:dyDescent="0.2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spans="1:26" x14ac:dyDescent="0.25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 spans="1:26" x14ac:dyDescent="0.25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spans="1:26" x14ac:dyDescent="0.25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 spans="1:26" x14ac:dyDescent="0.25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spans="1:26" x14ac:dyDescent="0.25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 spans="1:26" x14ac:dyDescent="0.25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spans="1:26" x14ac:dyDescent="0.25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 spans="1:26" x14ac:dyDescent="0.25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spans="1:26" x14ac:dyDescent="0.25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 spans="1:26" x14ac:dyDescent="0.2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spans="1:26" x14ac:dyDescent="0.25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 spans="1:26" x14ac:dyDescent="0.25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spans="1:26" x14ac:dyDescent="0.25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 spans="1:26" x14ac:dyDescent="0.25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spans="1:26" x14ac:dyDescent="0.25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 spans="1:26" x14ac:dyDescent="0.25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spans="1:26" x14ac:dyDescent="0.25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 spans="1:26" x14ac:dyDescent="0.25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spans="1:26" x14ac:dyDescent="0.25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 spans="1:26" x14ac:dyDescent="0.2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spans="1:26" x14ac:dyDescent="0.25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 spans="1:26" x14ac:dyDescent="0.2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spans="1:26" x14ac:dyDescent="0.25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 spans="1:26" x14ac:dyDescent="0.25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spans="1:26" x14ac:dyDescent="0.25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 spans="1:26" x14ac:dyDescent="0.25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spans="1:26" x14ac:dyDescent="0.25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 spans="1:26" x14ac:dyDescent="0.25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spans="1:26" x14ac:dyDescent="0.25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spans="1:26" x14ac:dyDescent="0.2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spans="1:26" x14ac:dyDescent="0.25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 spans="1:26" x14ac:dyDescent="0.25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spans="1:26" x14ac:dyDescent="0.25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 spans="1:26" x14ac:dyDescent="0.25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spans="1:26" x14ac:dyDescent="0.25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 spans="1:26" x14ac:dyDescent="0.25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spans="1:26" x14ac:dyDescent="0.25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 spans="1:26" x14ac:dyDescent="0.25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spans="1:26" x14ac:dyDescent="0.25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 spans="1:26" x14ac:dyDescent="0.2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spans="1:26" x14ac:dyDescent="0.25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 spans="1:26" x14ac:dyDescent="0.25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spans="1:26" x14ac:dyDescent="0.25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 spans="1:26" x14ac:dyDescent="0.25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spans="1:26" x14ac:dyDescent="0.25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 spans="1:26" x14ac:dyDescent="0.25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spans="1:26" x14ac:dyDescent="0.25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 spans="1:26" x14ac:dyDescent="0.25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spans="1:26" x14ac:dyDescent="0.25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 spans="1:26" x14ac:dyDescent="0.2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spans="1:26" x14ac:dyDescent="0.25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 spans="1:26" x14ac:dyDescent="0.25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spans="1:26" x14ac:dyDescent="0.25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 spans="1:26" x14ac:dyDescent="0.25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spans="1:26" x14ac:dyDescent="0.25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 spans="1:26" x14ac:dyDescent="0.25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spans="1:26" x14ac:dyDescent="0.25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 spans="1:26" x14ac:dyDescent="0.25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spans="1:26" x14ac:dyDescent="0.25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 spans="1:26" x14ac:dyDescent="0.2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spans="1:26" x14ac:dyDescent="0.25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 spans="1:26" x14ac:dyDescent="0.25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spans="1:26" x14ac:dyDescent="0.25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 spans="1:26" x14ac:dyDescent="0.25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spans="1:26" x14ac:dyDescent="0.25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 spans="1:26" x14ac:dyDescent="0.25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spans="1:26" x14ac:dyDescent="0.25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 spans="1:26" x14ac:dyDescent="0.25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spans="1:26" x14ac:dyDescent="0.25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 spans="1:26" x14ac:dyDescent="0.2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spans="1:26" x14ac:dyDescent="0.25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 spans="1:26" x14ac:dyDescent="0.25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spans="1:26" x14ac:dyDescent="0.25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 spans="1:26" x14ac:dyDescent="0.25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spans="1:26" x14ac:dyDescent="0.25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 spans="1:26" x14ac:dyDescent="0.25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spans="1:26" x14ac:dyDescent="0.25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 spans="1:26" x14ac:dyDescent="0.25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spans="1:26" x14ac:dyDescent="0.25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 spans="1:26" x14ac:dyDescent="0.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spans="1:26" x14ac:dyDescent="0.25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 spans="1:26" x14ac:dyDescent="0.25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spans="1:26" x14ac:dyDescent="0.25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 spans="1:26" x14ac:dyDescent="0.25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spans="1:26" x14ac:dyDescent="0.25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 spans="1:26" x14ac:dyDescent="0.25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spans="1:26" x14ac:dyDescent="0.25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 spans="1:26" x14ac:dyDescent="0.25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spans="1:26" x14ac:dyDescent="0.25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 spans="1:26" x14ac:dyDescent="0.2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spans="1:26" x14ac:dyDescent="0.25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 spans="1:26" x14ac:dyDescent="0.25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spans="1:26" x14ac:dyDescent="0.25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 spans="1:26" x14ac:dyDescent="0.25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spans="1:26" x14ac:dyDescent="0.25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 spans="1:26" x14ac:dyDescent="0.25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spans="1:26" x14ac:dyDescent="0.25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 spans="1:26" x14ac:dyDescent="0.25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spans="1:26" x14ac:dyDescent="0.25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 spans="1:26" x14ac:dyDescent="0.2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spans="1:26" x14ac:dyDescent="0.25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 spans="1:26" x14ac:dyDescent="0.25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spans="1:26" x14ac:dyDescent="0.25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 spans="1:26" x14ac:dyDescent="0.25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spans="1:26" x14ac:dyDescent="0.25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 spans="1:26" x14ac:dyDescent="0.25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spans="1:26" x14ac:dyDescent="0.25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 spans="1:26" x14ac:dyDescent="0.25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spans="1:26" x14ac:dyDescent="0.25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 spans="1:26" x14ac:dyDescent="0.2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spans="1:26" x14ac:dyDescent="0.25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 spans="1:26" x14ac:dyDescent="0.25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spans="1:26" x14ac:dyDescent="0.25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 spans="1:26" x14ac:dyDescent="0.25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spans="1:26" x14ac:dyDescent="0.25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 spans="1:26" x14ac:dyDescent="0.25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spans="1:26" x14ac:dyDescent="0.25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 spans="1:26" x14ac:dyDescent="0.25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spans="1:26" x14ac:dyDescent="0.25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 spans="1:26" x14ac:dyDescent="0.2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spans="1:26" x14ac:dyDescent="0.25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 spans="1:26" x14ac:dyDescent="0.25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spans="1:26" x14ac:dyDescent="0.25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 spans="1:26" x14ac:dyDescent="0.25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spans="1:26" x14ac:dyDescent="0.25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 spans="1:26" x14ac:dyDescent="0.25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spans="1:26" x14ac:dyDescent="0.25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 spans="1:26" x14ac:dyDescent="0.25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spans="1:26" x14ac:dyDescent="0.25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 spans="1:26" x14ac:dyDescent="0.2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spans="1:26" x14ac:dyDescent="0.25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 spans="1:26" x14ac:dyDescent="0.25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spans="1:26" x14ac:dyDescent="0.25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 spans="1:26" x14ac:dyDescent="0.25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spans="1:26" x14ac:dyDescent="0.25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 spans="1:26" x14ac:dyDescent="0.25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spans="1:26" x14ac:dyDescent="0.25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 spans="1:26" x14ac:dyDescent="0.25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spans="1:26" x14ac:dyDescent="0.25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 spans="1:26" x14ac:dyDescent="0.2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spans="1:26" x14ac:dyDescent="0.25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 spans="1:26" x14ac:dyDescent="0.25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spans="1:26" x14ac:dyDescent="0.25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 spans="1:26" x14ac:dyDescent="0.25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spans="1:26" x14ac:dyDescent="0.25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 spans="1:26" x14ac:dyDescent="0.25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spans="1:26" x14ac:dyDescent="0.25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 spans="1:26" x14ac:dyDescent="0.25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spans="1:26" x14ac:dyDescent="0.25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 spans="1:26" x14ac:dyDescent="0.2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spans="1:26" x14ac:dyDescent="0.25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 spans="1:26" x14ac:dyDescent="0.25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spans="1:26" x14ac:dyDescent="0.25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 spans="1:26" x14ac:dyDescent="0.25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spans="1:26" x14ac:dyDescent="0.25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 spans="1:26" x14ac:dyDescent="0.25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spans="1:26" x14ac:dyDescent="0.25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 spans="1:26" x14ac:dyDescent="0.25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spans="1:26" x14ac:dyDescent="0.25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 spans="1:26" x14ac:dyDescent="0.2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spans="1:26" x14ac:dyDescent="0.25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 spans="1:26" x14ac:dyDescent="0.25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spans="1:26" x14ac:dyDescent="0.25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 spans="1:26" x14ac:dyDescent="0.25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spans="1:26" x14ac:dyDescent="0.25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 spans="1:26" x14ac:dyDescent="0.25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spans="1:26" x14ac:dyDescent="0.25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 spans="1:26" x14ac:dyDescent="0.25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spans="1:26" x14ac:dyDescent="0.25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 spans="1:26" x14ac:dyDescent="0.2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spans="1:26" x14ac:dyDescent="0.25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 spans="1:26" x14ac:dyDescent="0.25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spans="1:26" x14ac:dyDescent="0.25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 spans="1:26" x14ac:dyDescent="0.25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spans="1:26" x14ac:dyDescent="0.25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 spans="1:26" x14ac:dyDescent="0.25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spans="1:26" x14ac:dyDescent="0.25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 spans="1:26" x14ac:dyDescent="0.25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spans="1:26" x14ac:dyDescent="0.25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 spans="1:26" x14ac:dyDescent="0.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spans="1:26" x14ac:dyDescent="0.25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 spans="1:26" x14ac:dyDescent="0.25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spans="1:26" x14ac:dyDescent="0.25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 spans="1:26" x14ac:dyDescent="0.25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spans="1:26" x14ac:dyDescent="0.25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 spans="1:26" x14ac:dyDescent="0.25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spans="1:26" x14ac:dyDescent="0.25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 spans="1:26" x14ac:dyDescent="0.25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spans="1:26" x14ac:dyDescent="0.25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 spans="1:26" x14ac:dyDescent="0.2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spans="1:26" x14ac:dyDescent="0.25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 spans="1:26" x14ac:dyDescent="0.25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spans="1:26" x14ac:dyDescent="0.25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 spans="1:26" x14ac:dyDescent="0.25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spans="1:26" x14ac:dyDescent="0.25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 spans="1:26" x14ac:dyDescent="0.25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spans="1:26" x14ac:dyDescent="0.25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 spans="1:26" x14ac:dyDescent="0.25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spans="1:26" x14ac:dyDescent="0.25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 spans="1:26" x14ac:dyDescent="0.2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spans="1:26" x14ac:dyDescent="0.25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 spans="1:26" x14ac:dyDescent="0.25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spans="1:26" x14ac:dyDescent="0.25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 spans="1:26" x14ac:dyDescent="0.25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spans="1:26" x14ac:dyDescent="0.25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 spans="1:26" x14ac:dyDescent="0.25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spans="1:26" x14ac:dyDescent="0.25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 spans="1:26" x14ac:dyDescent="0.25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spans="1:26" x14ac:dyDescent="0.25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 spans="1:26" x14ac:dyDescent="0.2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spans="1:26" x14ac:dyDescent="0.25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 spans="1:26" x14ac:dyDescent="0.25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spans="1:26" x14ac:dyDescent="0.25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 spans="1:26" x14ac:dyDescent="0.25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spans="1:26" x14ac:dyDescent="0.25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 spans="1:26" x14ac:dyDescent="0.25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spans="1:26" x14ac:dyDescent="0.25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 spans="1:26" x14ac:dyDescent="0.25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spans="1:26" x14ac:dyDescent="0.25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 spans="1:26" x14ac:dyDescent="0.2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spans="1:26" x14ac:dyDescent="0.25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 spans="1:26" x14ac:dyDescent="0.25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spans="1:26" x14ac:dyDescent="0.25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 spans="1:26" x14ac:dyDescent="0.25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spans="1:26" x14ac:dyDescent="0.25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 spans="1:26" x14ac:dyDescent="0.25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spans="1:26" x14ac:dyDescent="0.25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 spans="1:26" x14ac:dyDescent="0.25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spans="1:26" x14ac:dyDescent="0.25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 spans="1:26" x14ac:dyDescent="0.2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spans="1:26" x14ac:dyDescent="0.25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 spans="1:26" x14ac:dyDescent="0.25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spans="1:26" x14ac:dyDescent="0.25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 spans="1:26" x14ac:dyDescent="0.25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spans="1:26" x14ac:dyDescent="0.25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 spans="1:26" x14ac:dyDescent="0.25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spans="1:26" x14ac:dyDescent="0.25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 spans="1:26" x14ac:dyDescent="0.25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spans="1:26" x14ac:dyDescent="0.25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 spans="1:26" x14ac:dyDescent="0.2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spans="1:26" x14ac:dyDescent="0.25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 spans="1:26" x14ac:dyDescent="0.25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spans="1:26" x14ac:dyDescent="0.25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 spans="1:26" x14ac:dyDescent="0.25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spans="1:26" x14ac:dyDescent="0.25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 spans="1:26" x14ac:dyDescent="0.25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spans="1:26" x14ac:dyDescent="0.25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 spans="1:26" x14ac:dyDescent="0.25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spans="1:26" x14ac:dyDescent="0.25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 spans="1:26" x14ac:dyDescent="0.2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spans="1:26" x14ac:dyDescent="0.25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 spans="1:26" x14ac:dyDescent="0.25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spans="1:26" x14ac:dyDescent="0.25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 spans="1:26" x14ac:dyDescent="0.25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spans="1:26" x14ac:dyDescent="0.25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 spans="1:26" x14ac:dyDescent="0.25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spans="1:26" x14ac:dyDescent="0.25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 spans="1:26" x14ac:dyDescent="0.25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spans="1:26" x14ac:dyDescent="0.25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 spans="1:26" x14ac:dyDescent="0.2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spans="1:26" x14ac:dyDescent="0.25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 spans="1:26" x14ac:dyDescent="0.25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spans="1:26" x14ac:dyDescent="0.25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 spans="1:26" x14ac:dyDescent="0.25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spans="1:26" x14ac:dyDescent="0.25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 spans="1:26" x14ac:dyDescent="0.25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spans="1:26" x14ac:dyDescent="0.25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 spans="1:26" x14ac:dyDescent="0.25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spans="1:26" x14ac:dyDescent="0.25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 spans="1:26" x14ac:dyDescent="0.2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spans="1:26" x14ac:dyDescent="0.25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 spans="1:26" x14ac:dyDescent="0.25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spans="1:26" x14ac:dyDescent="0.25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 spans="1:26" x14ac:dyDescent="0.25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spans="1:26" x14ac:dyDescent="0.25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 spans="1:26" x14ac:dyDescent="0.25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spans="1:26" x14ac:dyDescent="0.25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 spans="1:26" x14ac:dyDescent="0.25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spans="1:26" x14ac:dyDescent="0.25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 spans="1:26" x14ac:dyDescent="0.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spans="1:26" x14ac:dyDescent="0.25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 spans="1:26" x14ac:dyDescent="0.25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spans="1:26" x14ac:dyDescent="0.25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 spans="1:26" x14ac:dyDescent="0.25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spans="1:26" x14ac:dyDescent="0.25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 spans="1:26" x14ac:dyDescent="0.25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spans="1:26" x14ac:dyDescent="0.25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 spans="1:26" x14ac:dyDescent="0.25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spans="1:26" x14ac:dyDescent="0.25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 spans="1:26" x14ac:dyDescent="0.2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spans="1:26" x14ac:dyDescent="0.25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 spans="1:26" x14ac:dyDescent="0.25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spans="1:26" x14ac:dyDescent="0.25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 spans="1:26" x14ac:dyDescent="0.25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spans="1:26" x14ac:dyDescent="0.25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 spans="1:26" x14ac:dyDescent="0.25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spans="1:26" x14ac:dyDescent="0.25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 spans="1:26" x14ac:dyDescent="0.25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spans="1:26" x14ac:dyDescent="0.25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 spans="1:26" x14ac:dyDescent="0.2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spans="1:26" x14ac:dyDescent="0.25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 spans="1:26" x14ac:dyDescent="0.25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spans="1:26" x14ac:dyDescent="0.25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 spans="1:26" x14ac:dyDescent="0.25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spans="1:26" x14ac:dyDescent="0.25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 spans="1:26" x14ac:dyDescent="0.25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spans="1:26" x14ac:dyDescent="0.25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 spans="1:26" x14ac:dyDescent="0.25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spans="1:26" x14ac:dyDescent="0.25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 spans="1:26" x14ac:dyDescent="0.2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spans="1:26" x14ac:dyDescent="0.25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 spans="1:26" x14ac:dyDescent="0.25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spans="1:26" x14ac:dyDescent="0.25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 spans="1:26" x14ac:dyDescent="0.25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spans="1:26" x14ac:dyDescent="0.25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 spans="1:26" x14ac:dyDescent="0.25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spans="1:26" x14ac:dyDescent="0.25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 spans="1:26" x14ac:dyDescent="0.25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spans="1:26" x14ac:dyDescent="0.25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 spans="1:26" x14ac:dyDescent="0.2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spans="1:26" x14ac:dyDescent="0.25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 spans="1:26" x14ac:dyDescent="0.25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spans="1:26" x14ac:dyDescent="0.25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 spans="1:26" x14ac:dyDescent="0.25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spans="1:26" x14ac:dyDescent="0.25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 spans="1:26" x14ac:dyDescent="0.25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spans="1:26" x14ac:dyDescent="0.25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 spans="1:26" x14ac:dyDescent="0.25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spans="1:26" x14ac:dyDescent="0.25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 spans="1:26" x14ac:dyDescent="0.2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spans="1:26" x14ac:dyDescent="0.25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 spans="1:26" x14ac:dyDescent="0.25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spans="1:26" x14ac:dyDescent="0.25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 spans="1:26" x14ac:dyDescent="0.25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spans="1:26" x14ac:dyDescent="0.25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 spans="1:26" x14ac:dyDescent="0.25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spans="1:26" x14ac:dyDescent="0.25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 spans="1:26" x14ac:dyDescent="0.25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spans="1:26" x14ac:dyDescent="0.25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 spans="1:26" x14ac:dyDescent="0.2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spans="1:26" x14ac:dyDescent="0.25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 spans="1:26" x14ac:dyDescent="0.25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spans="1:26" x14ac:dyDescent="0.25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 spans="1:26" x14ac:dyDescent="0.25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spans="1:26" x14ac:dyDescent="0.25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 spans="1:26" x14ac:dyDescent="0.25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spans="1:26" x14ac:dyDescent="0.25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 spans="1:26" x14ac:dyDescent="0.25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spans="1:26" x14ac:dyDescent="0.25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 spans="1:26" x14ac:dyDescent="0.2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spans="1:26" x14ac:dyDescent="0.25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 spans="1:26" x14ac:dyDescent="0.25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spans="1:26" x14ac:dyDescent="0.25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 spans="1:26" x14ac:dyDescent="0.25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spans="1:26" x14ac:dyDescent="0.25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 spans="1:26" x14ac:dyDescent="0.25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spans="1:26" x14ac:dyDescent="0.25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 spans="1:26" x14ac:dyDescent="0.25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spans="1:26" x14ac:dyDescent="0.25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 spans="1:26" x14ac:dyDescent="0.2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spans="1:26" x14ac:dyDescent="0.25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 spans="1:26" x14ac:dyDescent="0.25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spans="1:26" x14ac:dyDescent="0.25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 spans="1:26" x14ac:dyDescent="0.25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spans="1:26" x14ac:dyDescent="0.25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 spans="1:26" x14ac:dyDescent="0.25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spans="1:26" x14ac:dyDescent="0.25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 spans="1:26" x14ac:dyDescent="0.25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spans="1:26" x14ac:dyDescent="0.25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 spans="1:26" x14ac:dyDescent="0.2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spans="1:26" x14ac:dyDescent="0.25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 spans="1:26" x14ac:dyDescent="0.25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spans="1:26" x14ac:dyDescent="0.25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 spans="1:26" x14ac:dyDescent="0.25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spans="1:26" x14ac:dyDescent="0.25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 spans="1:26" x14ac:dyDescent="0.25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spans="1:26" x14ac:dyDescent="0.25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 spans="1:26" x14ac:dyDescent="0.25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spans="1:26" x14ac:dyDescent="0.25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 spans="1:26" x14ac:dyDescent="0.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spans="1:26" x14ac:dyDescent="0.25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 spans="1:26" x14ac:dyDescent="0.25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spans="1:26" x14ac:dyDescent="0.25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 spans="1:26" x14ac:dyDescent="0.25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spans="1:26" x14ac:dyDescent="0.25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 spans="1:26" x14ac:dyDescent="0.25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spans="1:26" x14ac:dyDescent="0.25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 spans="1:26" x14ac:dyDescent="0.25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spans="1:26" x14ac:dyDescent="0.25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 spans="1:26" x14ac:dyDescent="0.2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spans="1:26" x14ac:dyDescent="0.25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 spans="1:26" x14ac:dyDescent="0.25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spans="1:26" x14ac:dyDescent="0.25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 spans="1:26" x14ac:dyDescent="0.25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spans="1:26" x14ac:dyDescent="0.25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 spans="1:26" x14ac:dyDescent="0.25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spans="1:26" x14ac:dyDescent="0.25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 spans="1:26" x14ac:dyDescent="0.25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spans="1:26" x14ac:dyDescent="0.25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 spans="1:26" x14ac:dyDescent="0.2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spans="1:26" x14ac:dyDescent="0.25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 spans="1:26" x14ac:dyDescent="0.25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spans="1:26" x14ac:dyDescent="0.25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 spans="1:26" x14ac:dyDescent="0.25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spans="1:26" x14ac:dyDescent="0.25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 spans="1:26" x14ac:dyDescent="0.25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spans="1:26" x14ac:dyDescent="0.25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 spans="1:26" x14ac:dyDescent="0.25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spans="1:26" x14ac:dyDescent="0.25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 spans="1:26" x14ac:dyDescent="0.2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spans="1:26" x14ac:dyDescent="0.25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 spans="1:26" x14ac:dyDescent="0.25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spans="1:26" x14ac:dyDescent="0.25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 spans="1:26" x14ac:dyDescent="0.25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spans="1:26" x14ac:dyDescent="0.25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 spans="1:26" x14ac:dyDescent="0.25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spans="1:26" x14ac:dyDescent="0.25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 spans="1:26" x14ac:dyDescent="0.25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spans="1:26" x14ac:dyDescent="0.25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 spans="1:26" x14ac:dyDescent="0.2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spans="1:26" x14ac:dyDescent="0.25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 spans="1:26" x14ac:dyDescent="0.25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spans="1:26" x14ac:dyDescent="0.25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 spans="1:26" x14ac:dyDescent="0.25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spans="1:26" x14ac:dyDescent="0.25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 spans="1:26" x14ac:dyDescent="0.25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spans="1:26" x14ac:dyDescent="0.25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 spans="1:26" x14ac:dyDescent="0.25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spans="1:26" x14ac:dyDescent="0.25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 spans="1:26" x14ac:dyDescent="0.2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spans="1:26" x14ac:dyDescent="0.25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 spans="1:26" x14ac:dyDescent="0.25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spans="1:26" x14ac:dyDescent="0.25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 spans="1:26" x14ac:dyDescent="0.25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spans="1:26" x14ac:dyDescent="0.25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 spans="1:26" x14ac:dyDescent="0.25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spans="1:26" x14ac:dyDescent="0.25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 spans="1:26" x14ac:dyDescent="0.25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spans="1:26" x14ac:dyDescent="0.25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 spans="1:26" x14ac:dyDescent="0.2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spans="1:26" x14ac:dyDescent="0.25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 spans="1:26" x14ac:dyDescent="0.25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spans="1:26" x14ac:dyDescent="0.25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 spans="1:26" x14ac:dyDescent="0.25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spans="1:26" x14ac:dyDescent="0.25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 spans="1:26" x14ac:dyDescent="0.25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spans="1:26" x14ac:dyDescent="0.25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 spans="1:26" x14ac:dyDescent="0.25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spans="1:26" x14ac:dyDescent="0.25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 spans="1:26" x14ac:dyDescent="0.2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spans="1:26" x14ac:dyDescent="0.25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 spans="1:26" x14ac:dyDescent="0.25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spans="1:26" x14ac:dyDescent="0.25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 spans="1:26" x14ac:dyDescent="0.25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spans="1:26" x14ac:dyDescent="0.25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 spans="1:26" x14ac:dyDescent="0.25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spans="1:26" x14ac:dyDescent="0.25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 spans="1:26" x14ac:dyDescent="0.25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spans="1:26" x14ac:dyDescent="0.25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 spans="1:26" x14ac:dyDescent="0.2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spans="1:26" x14ac:dyDescent="0.25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 spans="1:26" x14ac:dyDescent="0.25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spans="1:26" x14ac:dyDescent="0.25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 spans="1:26" x14ac:dyDescent="0.25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spans="1:26" x14ac:dyDescent="0.25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 spans="1:26" x14ac:dyDescent="0.25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spans="1:26" x14ac:dyDescent="0.25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 spans="1:26" x14ac:dyDescent="0.25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spans="1:26" x14ac:dyDescent="0.25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 spans="1:26" x14ac:dyDescent="0.2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spans="1:26" x14ac:dyDescent="0.25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 spans="1:26" x14ac:dyDescent="0.25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spans="1:26" x14ac:dyDescent="0.25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 spans="1:26" x14ac:dyDescent="0.25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spans="1:26" x14ac:dyDescent="0.25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 spans="1:26" x14ac:dyDescent="0.25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spans="1:26" x14ac:dyDescent="0.25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 spans="1:26" x14ac:dyDescent="0.25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spans="1:26" x14ac:dyDescent="0.25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 spans="1:26" x14ac:dyDescent="0.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spans="1:26" x14ac:dyDescent="0.25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 spans="1:26" x14ac:dyDescent="0.25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spans="1:26" x14ac:dyDescent="0.25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 spans="1:26" x14ac:dyDescent="0.25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spans="1:26" x14ac:dyDescent="0.25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 spans="1:26" x14ac:dyDescent="0.25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spans="1:26" x14ac:dyDescent="0.25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 spans="1:26" x14ac:dyDescent="0.25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spans="1:26" x14ac:dyDescent="0.25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 spans="1:26" x14ac:dyDescent="0.2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spans="1:26" x14ac:dyDescent="0.25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 spans="1:26" x14ac:dyDescent="0.25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spans="1:26" x14ac:dyDescent="0.25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 spans="1:26" x14ac:dyDescent="0.25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spans="1:26" x14ac:dyDescent="0.25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 spans="1:26" x14ac:dyDescent="0.25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spans="1:26" x14ac:dyDescent="0.25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 spans="1:26" x14ac:dyDescent="0.25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spans="1:26" x14ac:dyDescent="0.25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 spans="1:26" x14ac:dyDescent="0.2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spans="1:26" x14ac:dyDescent="0.25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 spans="1:26" x14ac:dyDescent="0.25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spans="1:26" x14ac:dyDescent="0.25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 spans="1:26" x14ac:dyDescent="0.25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spans="1:26" x14ac:dyDescent="0.25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 spans="1:26" x14ac:dyDescent="0.25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spans="1:26" x14ac:dyDescent="0.25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 spans="1:26" x14ac:dyDescent="0.25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spans="1:26" x14ac:dyDescent="0.25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 spans="1:26" x14ac:dyDescent="0.2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spans="1:26" x14ac:dyDescent="0.25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 spans="1:26" x14ac:dyDescent="0.25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spans="1:26" x14ac:dyDescent="0.25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 spans="1:26" x14ac:dyDescent="0.25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spans="1:26" x14ac:dyDescent="0.25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 spans="1:26" x14ac:dyDescent="0.25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spans="1:26" x14ac:dyDescent="0.25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 spans="1:26" x14ac:dyDescent="0.25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spans="1:26" x14ac:dyDescent="0.25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 spans="1:26" x14ac:dyDescent="0.2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spans="1:26" x14ac:dyDescent="0.25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 spans="1:26" x14ac:dyDescent="0.25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spans="1:26" x14ac:dyDescent="0.25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 spans="1:26" x14ac:dyDescent="0.25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spans="1:26" x14ac:dyDescent="0.25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 spans="1:26" x14ac:dyDescent="0.25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spans="1:26" x14ac:dyDescent="0.25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 spans="1:26" x14ac:dyDescent="0.25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spans="1:26" x14ac:dyDescent="0.25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 spans="1:26" x14ac:dyDescent="0.2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spans="1:26" x14ac:dyDescent="0.25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 spans="1:26" x14ac:dyDescent="0.25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spans="1:26" x14ac:dyDescent="0.25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 spans="1:26" x14ac:dyDescent="0.25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spans="1:26" x14ac:dyDescent="0.25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 spans="1:26" x14ac:dyDescent="0.25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spans="1:26" x14ac:dyDescent="0.25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 spans="1:26" x14ac:dyDescent="0.25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spans="1:26" x14ac:dyDescent="0.25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 spans="1:26" x14ac:dyDescent="0.2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spans="1:26" x14ac:dyDescent="0.25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 spans="1:26" x14ac:dyDescent="0.25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spans="1:26" x14ac:dyDescent="0.25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 spans="1:26" x14ac:dyDescent="0.25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spans="1:26" x14ac:dyDescent="0.25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 spans="1:26" x14ac:dyDescent="0.25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spans="1:26" x14ac:dyDescent="0.25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 spans="1:26" x14ac:dyDescent="0.25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spans="1:26" x14ac:dyDescent="0.25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 spans="1:26" x14ac:dyDescent="0.2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spans="1:26" x14ac:dyDescent="0.25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 spans="1:26" x14ac:dyDescent="0.25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spans="1:26" x14ac:dyDescent="0.25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 spans="1:26" x14ac:dyDescent="0.25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spans="1:26" x14ac:dyDescent="0.25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 spans="1:26" x14ac:dyDescent="0.25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spans="1:26" x14ac:dyDescent="0.25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 spans="1:26" x14ac:dyDescent="0.25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spans="1:26" x14ac:dyDescent="0.25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 spans="1:26" x14ac:dyDescent="0.2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spans="1:26" x14ac:dyDescent="0.25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 spans="1:26" x14ac:dyDescent="0.25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spans="1:26" x14ac:dyDescent="0.25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 spans="1:26" x14ac:dyDescent="0.25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spans="1:26" x14ac:dyDescent="0.25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 spans="1:26" x14ac:dyDescent="0.25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spans="1:26" x14ac:dyDescent="0.25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 spans="1:26" x14ac:dyDescent="0.25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spans="1:26" x14ac:dyDescent="0.25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 spans="1:26" x14ac:dyDescent="0.2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spans="1:26" x14ac:dyDescent="0.25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 spans="1:26" x14ac:dyDescent="0.25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spans="1:26" x14ac:dyDescent="0.25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 spans="1:26" x14ac:dyDescent="0.25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spans="1:26" x14ac:dyDescent="0.25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 spans="1:26" x14ac:dyDescent="0.25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spans="1:26" x14ac:dyDescent="0.25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 spans="1:26" x14ac:dyDescent="0.25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spans="1:26" x14ac:dyDescent="0.25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 spans="1:26" x14ac:dyDescent="0.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spans="1:26" x14ac:dyDescent="0.25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 spans="1:26" x14ac:dyDescent="0.25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spans="1:26" x14ac:dyDescent="0.25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 spans="1:26" x14ac:dyDescent="0.25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spans="1:26" x14ac:dyDescent="0.25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 spans="1:26" x14ac:dyDescent="0.25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spans="1:26" x14ac:dyDescent="0.25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 spans="1:26" x14ac:dyDescent="0.25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spans="1:26" x14ac:dyDescent="0.25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 spans="1:26" x14ac:dyDescent="0.2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spans="1:26" x14ac:dyDescent="0.25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 spans="1:26" x14ac:dyDescent="0.25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spans="1:26" x14ac:dyDescent="0.25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 spans="1:26" x14ac:dyDescent="0.25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spans="1:26" x14ac:dyDescent="0.25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 spans="1:26" x14ac:dyDescent="0.25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spans="1:26" x14ac:dyDescent="0.25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 spans="1:26" x14ac:dyDescent="0.25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spans="1:26" x14ac:dyDescent="0.25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 spans="1:26" x14ac:dyDescent="0.2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spans="1:26" x14ac:dyDescent="0.25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 spans="1:26" x14ac:dyDescent="0.25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spans="1:26" x14ac:dyDescent="0.25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 spans="1:26" x14ac:dyDescent="0.25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spans="1:26" x14ac:dyDescent="0.25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 spans="1:26" x14ac:dyDescent="0.25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spans="1:26" x14ac:dyDescent="0.25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 spans="1:26" x14ac:dyDescent="0.25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spans="1:26" x14ac:dyDescent="0.25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 spans="1:26" x14ac:dyDescent="0.2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spans="1:26" x14ac:dyDescent="0.25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 spans="1:26" x14ac:dyDescent="0.25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spans="1:26" x14ac:dyDescent="0.25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 spans="1:26" x14ac:dyDescent="0.25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spans="1:26" x14ac:dyDescent="0.25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 spans="1:26" x14ac:dyDescent="0.25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spans="1:26" x14ac:dyDescent="0.25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 spans="1:26" x14ac:dyDescent="0.25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spans="1:26" x14ac:dyDescent="0.25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 spans="1:26" x14ac:dyDescent="0.2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spans="1:26" x14ac:dyDescent="0.25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 spans="1:26" x14ac:dyDescent="0.25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spans="1:26" x14ac:dyDescent="0.25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 spans="1:26" x14ac:dyDescent="0.25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spans="1:26" x14ac:dyDescent="0.25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 spans="1:26" x14ac:dyDescent="0.25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spans="1:26" x14ac:dyDescent="0.25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 spans="1:26" x14ac:dyDescent="0.25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spans="1:26" x14ac:dyDescent="0.25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 spans="1:26" x14ac:dyDescent="0.2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spans="1:26" x14ac:dyDescent="0.25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 spans="1:26" x14ac:dyDescent="0.25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spans="1:26" x14ac:dyDescent="0.25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 spans="1:26" x14ac:dyDescent="0.25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spans="1:26" x14ac:dyDescent="0.25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 spans="1:26" x14ac:dyDescent="0.25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spans="1:26" x14ac:dyDescent="0.25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 spans="1:26" x14ac:dyDescent="0.25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spans="1:26" x14ac:dyDescent="0.25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 spans="1:26" x14ac:dyDescent="0.2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spans="1:26" x14ac:dyDescent="0.25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 spans="1:26" x14ac:dyDescent="0.25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spans="1:26" x14ac:dyDescent="0.25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 spans="1:26" x14ac:dyDescent="0.25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spans="1:26" x14ac:dyDescent="0.25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 spans="1:26" x14ac:dyDescent="0.25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spans="1:26" x14ac:dyDescent="0.25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 spans="1:26" x14ac:dyDescent="0.25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spans="1:26" x14ac:dyDescent="0.25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 spans="1:26" x14ac:dyDescent="0.2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spans="1:26" x14ac:dyDescent="0.25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 spans="1:26" x14ac:dyDescent="0.25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spans="1:26" x14ac:dyDescent="0.25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 spans="1:26" x14ac:dyDescent="0.25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spans="1:26" x14ac:dyDescent="0.25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 spans="1:26" x14ac:dyDescent="0.25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spans="1:26" x14ac:dyDescent="0.25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 spans="1:26" x14ac:dyDescent="0.25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spans="1:26" x14ac:dyDescent="0.25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 spans="1:26" x14ac:dyDescent="0.2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spans="1:26" x14ac:dyDescent="0.25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 spans="1:26" x14ac:dyDescent="0.25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spans="1:26" x14ac:dyDescent="0.25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 spans="1:26" x14ac:dyDescent="0.25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spans="1:26" x14ac:dyDescent="0.25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 spans="1:26" x14ac:dyDescent="0.25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spans="1:26" x14ac:dyDescent="0.25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 spans="1:26" x14ac:dyDescent="0.25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spans="1:26" x14ac:dyDescent="0.25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 spans="1:26" x14ac:dyDescent="0.2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spans="1:26" x14ac:dyDescent="0.25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 spans="1:26" x14ac:dyDescent="0.25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spans="1:26" x14ac:dyDescent="0.25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 spans="1:26" x14ac:dyDescent="0.25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spans="1:26" x14ac:dyDescent="0.25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 spans="1:26" x14ac:dyDescent="0.25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spans="1:26" x14ac:dyDescent="0.25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 spans="1:26" x14ac:dyDescent="0.25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spans="1:26" x14ac:dyDescent="0.25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 spans="1:26" x14ac:dyDescent="0.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spans="1:26" x14ac:dyDescent="0.25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 spans="1:26" x14ac:dyDescent="0.25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spans="1:26" x14ac:dyDescent="0.25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 spans="1:26" x14ac:dyDescent="0.25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spans="1:26" x14ac:dyDescent="0.25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 spans="1:26" x14ac:dyDescent="0.25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spans="1:26" x14ac:dyDescent="0.25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 spans="1:26" x14ac:dyDescent="0.25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spans="1:26" x14ac:dyDescent="0.25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 spans="1:26" x14ac:dyDescent="0.2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spans="1:26" x14ac:dyDescent="0.25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 spans="1:26" x14ac:dyDescent="0.25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spans="1:26" x14ac:dyDescent="0.25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 spans="1:26" x14ac:dyDescent="0.25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spans="1:26" x14ac:dyDescent="0.25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 spans="1:26" x14ac:dyDescent="0.25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spans="1:26" x14ac:dyDescent="0.25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 spans="1:26" x14ac:dyDescent="0.25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spans="1:26" x14ac:dyDescent="0.25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 spans="1:26" x14ac:dyDescent="0.2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spans="1:26" x14ac:dyDescent="0.25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 spans="1:26" x14ac:dyDescent="0.25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spans="1:26" x14ac:dyDescent="0.25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 spans="1:26" x14ac:dyDescent="0.25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spans="1:26" x14ac:dyDescent="0.25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 spans="1:26" x14ac:dyDescent="0.25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spans="1:26" x14ac:dyDescent="0.25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 spans="1:26" x14ac:dyDescent="0.25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spans="1:26" x14ac:dyDescent="0.25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 spans="1:26" x14ac:dyDescent="0.2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spans="1:26" x14ac:dyDescent="0.25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 spans="1:26" x14ac:dyDescent="0.25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spans="1:26" x14ac:dyDescent="0.25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 spans="1:26" x14ac:dyDescent="0.25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spans="1:26" x14ac:dyDescent="0.25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 spans="1:26" x14ac:dyDescent="0.25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spans="1:26" x14ac:dyDescent="0.25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 spans="1:26" x14ac:dyDescent="0.25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spans="1:26" x14ac:dyDescent="0.25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 spans="1:26" x14ac:dyDescent="0.2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spans="1:26" x14ac:dyDescent="0.25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 spans="1:26" x14ac:dyDescent="0.25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spans="1:26" x14ac:dyDescent="0.25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 spans="1:26" x14ac:dyDescent="0.25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spans="1:26" x14ac:dyDescent="0.25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 spans="1:26" x14ac:dyDescent="0.25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spans="1:26" x14ac:dyDescent="0.25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 spans="1:26" x14ac:dyDescent="0.25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spans="1:26" x14ac:dyDescent="0.25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 spans="1:26" x14ac:dyDescent="0.2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spans="1:26" x14ac:dyDescent="0.25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 spans="1:26" x14ac:dyDescent="0.25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spans="1:26" x14ac:dyDescent="0.25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 spans="1:26" x14ac:dyDescent="0.25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spans="1:26" x14ac:dyDescent="0.25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 spans="1:26" x14ac:dyDescent="0.25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spans="1:26" x14ac:dyDescent="0.25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 spans="1:26" x14ac:dyDescent="0.25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spans="1:26" x14ac:dyDescent="0.25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 spans="1:26" x14ac:dyDescent="0.2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spans="1:26" x14ac:dyDescent="0.25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 spans="1:26" x14ac:dyDescent="0.25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spans="1:26" x14ac:dyDescent="0.25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 spans="1:26" x14ac:dyDescent="0.25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spans="1:26" x14ac:dyDescent="0.25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 spans="1:26" x14ac:dyDescent="0.25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spans="1:26" x14ac:dyDescent="0.25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 spans="1:26" x14ac:dyDescent="0.25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spans="1:26" x14ac:dyDescent="0.25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 spans="1:26" x14ac:dyDescent="0.2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spans="1:26" x14ac:dyDescent="0.25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 spans="1:26" x14ac:dyDescent="0.25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spans="1:26" x14ac:dyDescent="0.25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 spans="1:26" x14ac:dyDescent="0.25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spans="1:26" x14ac:dyDescent="0.25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 spans="1:26" x14ac:dyDescent="0.25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spans="1:26" x14ac:dyDescent="0.25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 spans="1:26" x14ac:dyDescent="0.25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spans="1:26" x14ac:dyDescent="0.25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 spans="1:26" x14ac:dyDescent="0.2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spans="1:26" x14ac:dyDescent="0.25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 spans="1:26" x14ac:dyDescent="0.25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spans="1:26" x14ac:dyDescent="0.25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 spans="1:26" x14ac:dyDescent="0.25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spans="1:26" x14ac:dyDescent="0.25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 spans="1:26" x14ac:dyDescent="0.25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spans="1:26" x14ac:dyDescent="0.25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 spans="1:26" x14ac:dyDescent="0.25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spans="1:26" x14ac:dyDescent="0.25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 spans="1:26" x14ac:dyDescent="0.2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spans="1:26" x14ac:dyDescent="0.25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 spans="1:26" x14ac:dyDescent="0.25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spans="1:26" x14ac:dyDescent="0.25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 spans="1:26" x14ac:dyDescent="0.25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spans="1:26" x14ac:dyDescent="0.25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 spans="1:26" x14ac:dyDescent="0.25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spans="1:26" x14ac:dyDescent="0.25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 spans="1:26" x14ac:dyDescent="0.25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spans="1:26" x14ac:dyDescent="0.25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 spans="1:26" x14ac:dyDescent="0.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spans="1:26" x14ac:dyDescent="0.25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 spans="1:26" x14ac:dyDescent="0.25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spans="1:26" x14ac:dyDescent="0.25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 spans="1:26" x14ac:dyDescent="0.25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spans="1:26" x14ac:dyDescent="0.25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 spans="1:26" x14ac:dyDescent="0.25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spans="1:26" x14ac:dyDescent="0.25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 spans="1:26" x14ac:dyDescent="0.25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spans="1:26" x14ac:dyDescent="0.25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 spans="1:26" x14ac:dyDescent="0.2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spans="1:26" x14ac:dyDescent="0.25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 spans="1:26" x14ac:dyDescent="0.25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spans="1:26" x14ac:dyDescent="0.25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 spans="1:26" x14ac:dyDescent="0.25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spans="1:26" x14ac:dyDescent="0.25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 spans="1:26" x14ac:dyDescent="0.25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spans="1:26" x14ac:dyDescent="0.25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 spans="1:26" x14ac:dyDescent="0.25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 spans="1:26" x14ac:dyDescent="0.25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 spans="1:26" x14ac:dyDescent="0.2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 spans="1:26" x14ac:dyDescent="0.25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 spans="1:26" x14ac:dyDescent="0.25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 spans="1:26" x14ac:dyDescent="0.25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 spans="1:26" x14ac:dyDescent="0.25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 spans="1:26" x14ac:dyDescent="0.25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 spans="1:26" x14ac:dyDescent="0.25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 spans="1:26" x14ac:dyDescent="0.25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 spans="1:26" x14ac:dyDescent="0.25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 spans="1:26" x14ac:dyDescent="0.25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 spans="1:26" x14ac:dyDescent="0.2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 spans="1:26" x14ac:dyDescent="0.25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 spans="1:26" x14ac:dyDescent="0.25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 spans="1:26" x14ac:dyDescent="0.25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 spans="1:26" x14ac:dyDescent="0.25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 spans="1:26" x14ac:dyDescent="0.25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 spans="1:26" x14ac:dyDescent="0.25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 spans="1:26" x14ac:dyDescent="0.25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 spans="1:26" x14ac:dyDescent="0.25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 spans="1:26" x14ac:dyDescent="0.25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4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2" t="s">
        <v>0</v>
      </c>
      <c r="B1" s="13" t="s">
        <v>3</v>
      </c>
    </row>
    <row r="2" spans="1:2" x14ac:dyDescent="0.25">
      <c r="A2" s="14" t="s">
        <v>6</v>
      </c>
      <c r="B2" s="15">
        <v>735</v>
      </c>
    </row>
    <row r="3" spans="1:2" x14ac:dyDescent="0.25">
      <c r="A3" s="16"/>
      <c r="B3" s="17">
        <v>2335</v>
      </c>
    </row>
    <row r="4" spans="1:2" x14ac:dyDescent="0.25">
      <c r="A4" s="16"/>
      <c r="B4" s="17">
        <v>2440</v>
      </c>
    </row>
    <row r="5" spans="1:2" x14ac:dyDescent="0.25">
      <c r="A5" s="16"/>
      <c r="B5" s="17">
        <v>3090</v>
      </c>
    </row>
    <row r="6" spans="1:2" x14ac:dyDescent="0.25">
      <c r="A6" s="16"/>
      <c r="B6" s="17">
        <v>3115</v>
      </c>
    </row>
    <row r="7" spans="1:2" x14ac:dyDescent="0.25">
      <c r="A7" s="16"/>
      <c r="B7" s="17">
        <v>3695</v>
      </c>
    </row>
    <row r="8" spans="1:2" x14ac:dyDescent="0.25">
      <c r="A8" s="14" t="s">
        <v>12</v>
      </c>
      <c r="B8" s="18"/>
    </row>
    <row r="9" spans="1:2" x14ac:dyDescent="0.25">
      <c r="A9" s="14" t="s">
        <v>7</v>
      </c>
      <c r="B9" s="15">
        <v>1650</v>
      </c>
    </row>
    <row r="10" spans="1:2" x14ac:dyDescent="0.25">
      <c r="A10" s="16"/>
      <c r="B10" s="17">
        <v>1828</v>
      </c>
    </row>
    <row r="11" spans="1:2" x14ac:dyDescent="0.25">
      <c r="A11" s="16"/>
      <c r="B11" s="17">
        <v>1935</v>
      </c>
    </row>
    <row r="12" spans="1:2" x14ac:dyDescent="0.25">
      <c r="A12" s="16"/>
      <c r="B12" s="17">
        <v>2035</v>
      </c>
    </row>
    <row r="13" spans="1:2" x14ac:dyDescent="0.25">
      <c r="A13" s="16"/>
      <c r="B13" s="17">
        <v>3163</v>
      </c>
    </row>
    <row r="14" spans="1:2" x14ac:dyDescent="0.25">
      <c r="A14" s="16"/>
      <c r="B14" s="17">
        <v>3479</v>
      </c>
    </row>
    <row r="15" spans="1:2" x14ac:dyDescent="0.25">
      <c r="A15" s="14" t="s">
        <v>13</v>
      </c>
      <c r="B15" s="18"/>
    </row>
    <row r="16" spans="1:2" x14ac:dyDescent="0.25">
      <c r="A16" s="14" t="s">
        <v>8</v>
      </c>
      <c r="B16" s="15">
        <v>1060</v>
      </c>
    </row>
    <row r="17" spans="1:2" x14ac:dyDescent="0.25">
      <c r="A17" s="16"/>
      <c r="B17" s="17">
        <v>1290</v>
      </c>
    </row>
    <row r="18" spans="1:2" x14ac:dyDescent="0.25">
      <c r="A18" s="16"/>
      <c r="B18" s="17">
        <v>1400</v>
      </c>
    </row>
    <row r="19" spans="1:2" x14ac:dyDescent="0.25">
      <c r="A19" s="16"/>
      <c r="B19" s="17">
        <v>1870</v>
      </c>
    </row>
    <row r="20" spans="1:2" x14ac:dyDescent="0.25">
      <c r="A20" s="16"/>
      <c r="B20" s="17">
        <v>2080</v>
      </c>
    </row>
    <row r="21" spans="1:2" x14ac:dyDescent="0.25">
      <c r="A21" s="16"/>
      <c r="B21" s="17">
        <v>2090</v>
      </c>
    </row>
    <row r="22" spans="1:2" x14ac:dyDescent="0.25">
      <c r="A22" s="14" t="s">
        <v>14</v>
      </c>
      <c r="B22" s="18"/>
    </row>
    <row r="23" spans="1:2" x14ac:dyDescent="0.25">
      <c r="A23" s="14" t="s">
        <v>9</v>
      </c>
      <c r="B23" s="15">
        <v>1885</v>
      </c>
    </row>
    <row r="24" spans="1:2" x14ac:dyDescent="0.25">
      <c r="A24" s="16"/>
      <c r="B24" s="17">
        <v>2099</v>
      </c>
    </row>
    <row r="25" spans="1:2" x14ac:dyDescent="0.25">
      <c r="A25" s="16"/>
      <c r="B25" s="17">
        <v>3477</v>
      </c>
    </row>
    <row r="26" spans="1:2" x14ac:dyDescent="0.25">
      <c r="A26" s="16"/>
      <c r="B26" s="17">
        <v>3650</v>
      </c>
    </row>
    <row r="27" spans="1:2" x14ac:dyDescent="0.25">
      <c r="A27" s="16"/>
      <c r="B27" s="17">
        <v>5113</v>
      </c>
    </row>
    <row r="28" spans="1:2" x14ac:dyDescent="0.25">
      <c r="A28" s="16"/>
      <c r="B28" s="17">
        <v>5491</v>
      </c>
    </row>
    <row r="29" spans="1:2" x14ac:dyDescent="0.25">
      <c r="A29" s="14" t="s">
        <v>15</v>
      </c>
      <c r="B29" s="18"/>
    </row>
    <row r="30" spans="1:2" x14ac:dyDescent="0.25">
      <c r="A30" s="14" t="s">
        <v>10</v>
      </c>
      <c r="B30" s="15">
        <v>1970</v>
      </c>
    </row>
    <row r="31" spans="1:2" x14ac:dyDescent="0.25">
      <c r="A31" s="16"/>
      <c r="B31" s="17">
        <v>2177</v>
      </c>
    </row>
    <row r="32" spans="1:2" x14ac:dyDescent="0.25">
      <c r="A32" s="16"/>
      <c r="B32" s="17">
        <v>2775</v>
      </c>
    </row>
    <row r="33" spans="1:2" x14ac:dyDescent="0.25">
      <c r="A33" s="16"/>
      <c r="B33" s="17">
        <v>2807</v>
      </c>
    </row>
    <row r="34" spans="1:2" x14ac:dyDescent="0.25">
      <c r="A34" s="16"/>
      <c r="B34" s="17">
        <v>3045</v>
      </c>
    </row>
    <row r="35" spans="1:2" x14ac:dyDescent="0.25">
      <c r="A35" s="16"/>
      <c r="B35" s="17">
        <v>3608</v>
      </c>
    </row>
    <row r="36" spans="1:2" x14ac:dyDescent="0.25">
      <c r="A36" s="14" t="s">
        <v>16</v>
      </c>
      <c r="B36" s="18"/>
    </row>
    <row r="37" spans="1:2" x14ac:dyDescent="0.25">
      <c r="A37" s="14" t="s">
        <v>11</v>
      </c>
      <c r="B37" s="15">
        <v>1290</v>
      </c>
    </row>
    <row r="38" spans="1:2" x14ac:dyDescent="0.25">
      <c r="A38" s="16"/>
      <c r="B38" s="17">
        <v>1330</v>
      </c>
    </row>
    <row r="39" spans="1:2" x14ac:dyDescent="0.25">
      <c r="A39" s="16"/>
      <c r="B39" s="17">
        <v>1665</v>
      </c>
    </row>
    <row r="40" spans="1:2" x14ac:dyDescent="0.25">
      <c r="A40" s="16"/>
      <c r="B40" s="17">
        <v>1670</v>
      </c>
    </row>
    <row r="41" spans="1:2" x14ac:dyDescent="0.25">
      <c r="A41" s="16"/>
      <c r="B41" s="17">
        <v>1960</v>
      </c>
    </row>
    <row r="42" spans="1:2" x14ac:dyDescent="0.25">
      <c r="A42" s="16"/>
      <c r="B42" s="17">
        <v>2980</v>
      </c>
    </row>
    <row r="43" spans="1:2" x14ac:dyDescent="0.25">
      <c r="A43" s="14" t="s">
        <v>17</v>
      </c>
      <c r="B43" s="18"/>
    </row>
    <row r="44" spans="1:2" x14ac:dyDescent="0.25">
      <c r="A44" s="19" t="s">
        <v>18</v>
      </c>
      <c r="B4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19</v>
      </c>
      <c r="C1" s="1" t="s">
        <v>20</v>
      </c>
    </row>
    <row r="2" spans="1:3" x14ac:dyDescent="0.25">
      <c r="A2" s="1" t="s">
        <v>8</v>
      </c>
      <c r="B2" s="1">
        <v>12000</v>
      </c>
      <c r="C2" s="2">
        <f>SUMIF(monthly_category_revenue!A:A, A2, monthly_category_revenue!D:D)</f>
        <v>9790</v>
      </c>
    </row>
    <row r="3" spans="1:3" x14ac:dyDescent="0.25">
      <c r="A3" s="1" t="s">
        <v>7</v>
      </c>
      <c r="B3" s="1">
        <v>16500</v>
      </c>
      <c r="C3" s="2">
        <f>SUMIF(monthly_category_revenue!A:A, A3, monthly_category_revenue!D:D)</f>
        <v>14090</v>
      </c>
    </row>
    <row r="4" spans="1:3" x14ac:dyDescent="0.25">
      <c r="A4" s="1" t="s">
        <v>11</v>
      </c>
      <c r="B4" s="1">
        <v>13000</v>
      </c>
      <c r="C4" s="2">
        <f>SUMIF(monthly_category_revenue!A:A, A4, monthly_category_revenue!D:D)</f>
        <v>10895</v>
      </c>
    </row>
    <row r="5" spans="1:3" x14ac:dyDescent="0.25">
      <c r="A5" s="1" t="s">
        <v>10</v>
      </c>
      <c r="B5" s="1">
        <v>15500</v>
      </c>
      <c r="C5" s="2">
        <f>SUMIF(monthly_category_revenue!A:A, A5, monthly_category_revenue!D:D)</f>
        <v>16382</v>
      </c>
    </row>
    <row r="6" spans="1:3" x14ac:dyDescent="0.25">
      <c r="A6" s="1" t="s">
        <v>9</v>
      </c>
      <c r="B6" s="1">
        <v>17000</v>
      </c>
      <c r="C6" s="2">
        <f>SUMIF(monthly_category_revenue!A:A, A6, monthly_category_revenue!D:D)</f>
        <v>21715</v>
      </c>
    </row>
    <row r="7" spans="1:3" x14ac:dyDescent="0.25">
      <c r="A7" s="1" t="s">
        <v>6</v>
      </c>
      <c r="B7" s="1">
        <v>12000</v>
      </c>
      <c r="C7" s="2">
        <f>SUMIF(monthly_category_revenue!A:A, A7, monthly_category_revenue!D:D)</f>
        <v>15410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7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1" t="s">
        <v>8</v>
      </c>
      <c r="B2" s="1">
        <v>12000</v>
      </c>
      <c r="C2" s="2">
        <f>SUMIF(monthly_category_revenue!A:A, A2, monthly_category_revenue!D:D)</f>
        <v>9790</v>
      </c>
      <c r="D2" s="2">
        <f t="shared" ref="D2:D7" si="0">C2-B2</f>
        <v>-2210</v>
      </c>
      <c r="E2" s="11">
        <f t="shared" ref="E2:E7" si="1">((C2-B2)/B2)</f>
        <v>-0.18416666666666667</v>
      </c>
      <c r="F2" s="2" t="str">
        <f t="shared" ref="F2:F7" si="2">IF(B2&gt;=C2,"Above Target",IF((C2-B2)/C2&lt;=15%,"Below Target - Watch","Below Target - Critical"))</f>
        <v>Above Target</v>
      </c>
      <c r="G2" s="1" t="s">
        <v>25</v>
      </c>
    </row>
    <row r="3" spans="1:7" x14ac:dyDescent="0.25">
      <c r="A3" s="1" t="s">
        <v>7</v>
      </c>
      <c r="B3" s="1">
        <v>16500</v>
      </c>
      <c r="C3" s="2">
        <f>SUMIF(monthly_category_revenue!A:A, A3, monthly_category_revenue!D:D)</f>
        <v>14090</v>
      </c>
      <c r="D3" s="2">
        <f t="shared" si="0"/>
        <v>-2410</v>
      </c>
      <c r="E3" s="11">
        <f t="shared" si="1"/>
        <v>-0.14606060606060606</v>
      </c>
      <c r="F3" s="2" t="str">
        <f t="shared" si="2"/>
        <v>Above Target</v>
      </c>
      <c r="G3" s="1" t="s">
        <v>25</v>
      </c>
    </row>
    <row r="4" spans="1:7" x14ac:dyDescent="0.25">
      <c r="A4" s="1" t="s">
        <v>11</v>
      </c>
      <c r="B4" s="1">
        <v>13000</v>
      </c>
      <c r="C4" s="2">
        <f>SUMIF(monthly_category_revenue!A:A, A4, monthly_category_revenue!D:D)</f>
        <v>10895</v>
      </c>
      <c r="D4" s="2">
        <f t="shared" si="0"/>
        <v>-2105</v>
      </c>
      <c r="E4" s="11">
        <f t="shared" si="1"/>
        <v>-0.16192307692307692</v>
      </c>
      <c r="F4" s="2" t="str">
        <f t="shared" si="2"/>
        <v>Above Target</v>
      </c>
      <c r="G4" s="1" t="s">
        <v>25</v>
      </c>
    </row>
    <row r="5" spans="1:7" x14ac:dyDescent="0.25">
      <c r="A5" s="1" t="s">
        <v>10</v>
      </c>
      <c r="B5" s="1">
        <v>15500</v>
      </c>
      <c r="C5" s="2">
        <f>SUMIF(monthly_category_revenue!A:A, A5, monthly_category_revenue!D:D)</f>
        <v>16382</v>
      </c>
      <c r="D5" s="2">
        <f t="shared" si="0"/>
        <v>882</v>
      </c>
      <c r="E5" s="11">
        <f t="shared" si="1"/>
        <v>5.6903225806451616E-2</v>
      </c>
      <c r="F5" s="2" t="str">
        <f t="shared" si="2"/>
        <v>Below Target - Watch</v>
      </c>
      <c r="G5" s="1" t="s">
        <v>25</v>
      </c>
    </row>
    <row r="6" spans="1:7" x14ac:dyDescent="0.25">
      <c r="A6" s="1" t="s">
        <v>9</v>
      </c>
      <c r="B6" s="1">
        <v>17000</v>
      </c>
      <c r="C6" s="2">
        <f>SUMIF(monthly_category_revenue!A:A, A6, monthly_category_revenue!D:D)</f>
        <v>21715</v>
      </c>
      <c r="D6" s="2">
        <f t="shared" si="0"/>
        <v>4715</v>
      </c>
      <c r="E6" s="11">
        <f t="shared" si="1"/>
        <v>0.27735294117647058</v>
      </c>
      <c r="F6" s="2" t="str">
        <f t="shared" si="2"/>
        <v>Below Target - Critical</v>
      </c>
      <c r="G6" s="1" t="s">
        <v>25</v>
      </c>
    </row>
    <row r="7" spans="1:7" x14ac:dyDescent="0.25">
      <c r="A7" s="1" t="s">
        <v>6</v>
      </c>
      <c r="B7" s="1">
        <v>12000</v>
      </c>
      <c r="C7" s="2">
        <f>SUMIF(monthly_category_revenue!A:A, A7, monthly_category_revenue!D:D)</f>
        <v>15410</v>
      </c>
      <c r="D7" s="2">
        <f t="shared" si="0"/>
        <v>3410</v>
      </c>
      <c r="E7" s="11">
        <f t="shared" si="1"/>
        <v>0.28416666666666668</v>
      </c>
      <c r="F7" s="2" t="str">
        <f t="shared" si="2"/>
        <v>Below Target - Critical</v>
      </c>
      <c r="G7" s="1" t="s">
        <v>25</v>
      </c>
    </row>
  </sheetData>
  <conditionalFormatting sqref="F2:F7">
    <cfRule type="cellIs" dxfId="2" priority="1" operator="equal">
      <formula>"Above Target"</formula>
    </cfRule>
    <cfRule type="cellIs" dxfId="1" priority="2" operator="equal">
      <formula>"Below Target - Watch"</formula>
    </cfRule>
  </conditionalFormatting>
  <conditionalFormatting sqref="F2:Z7">
    <cfRule type="cellIs" dxfId="0" priority="3" operator="equal">
      <formula>"Below Target - Critical"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monthly_category_revenue</vt:lpstr>
      <vt:lpstr>Pivot Table 2</vt:lpstr>
      <vt:lpstr>Detail1</vt:lpstr>
      <vt:lpstr>Pivot 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raj</cp:lastModifiedBy>
  <dcterms:modified xsi:type="dcterms:W3CDTF">2026-09-14T07:17:22Z</dcterms:modified>
</cp:coreProperties>
</file>