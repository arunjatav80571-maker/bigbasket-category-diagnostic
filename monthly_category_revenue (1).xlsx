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ategory_revenue" sheetId="1" r:id="rId5"/>
    <sheet state="visible" name="Pivot Table 2" sheetId="2" r:id="rId6"/>
    <sheet state="visible" name="Detail1" sheetId="3" r:id="rId7"/>
    <sheet state="visible" name="Pivot Table 1" sheetId="4" r:id="rId8"/>
    <sheet state="visible" name="Sheet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<sst xmlns="http://schemas.openxmlformats.org/spreadsheetml/2006/main" count="107" uniqueCount="22">
  <si>
    <t>category</t>
  </si>
  <si>
    <t>month</t>
  </si>
  <si>
    <t>total_order</t>
  </si>
  <si>
    <t>total_revenue</t>
  </si>
  <si>
    <t>avg_revenue</t>
  </si>
  <si>
    <t xml:space="preserve"> </t>
  </si>
  <si>
    <t>Bakery</t>
  </si>
  <si>
    <t>Dairy &amp; Eggs</t>
  </si>
  <si>
    <t>Fruits &amp; Vegetables</t>
  </si>
  <si>
    <t>Household Essentials</t>
  </si>
  <si>
    <t xml:space="preserve"> Total</t>
  </si>
  <si>
    <t>Bakery Total</t>
  </si>
  <si>
    <t>Personal Care</t>
  </si>
  <si>
    <t>Dairy &amp; Eggs Total</t>
  </si>
  <si>
    <t>Fruits &amp; Vegetables Total</t>
  </si>
  <si>
    <t>Snacks &amp; Beverages</t>
  </si>
  <si>
    <t>Household Essentials Total</t>
  </si>
  <si>
    <t>Personal Care Total</t>
  </si>
  <si>
    <t>Snacks &amp; Beverages Total</t>
  </si>
  <si>
    <t>Grand Total</t>
  </si>
  <si>
    <t>target\_revenue\_inr"</t>
  </si>
  <si>
    <t>actual\_revenue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</si>
</sst>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monthly_category_revenue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164">
      <sharedItems containsDate="1" containsString="0" containsBlank="1">
        <d v="2026-01-01T00:00:00Z"/>
        <d v="2026-02-01T00:00:00Z"/>
        <d v="2026-03-01T00:00:00Z"/>
        <d v="2026-04-01T00:00:00Z"/>
        <d v="2026-05-01T00:00:00Z"/>
        <d v="2026-06-01T00:00:00Z"/>
        <m/>
      </sharedItems>
    </cacheField>
    <cacheField name="total_order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_category_revenue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total_order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46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axis="axisRow" compact="0" outline="0" multipleItemSelectionAllowed="1" showAll="0" sortType="ascending">
      <items>
        <item x="35"/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</pivotFields>
  <rowFields>
    <field x="0"/>
    <field x="3"/>
  </row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C44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axis="axisRow" compact="0" outline="0" multipleItemSelectionAllowed="1" showAll="0" sortType="ascending">
      <items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  <field x="3"/>
  </rowFields>
</pivotTableDefinition>
</file>

<file path=xl/tables/table1.xml><?xml version="1.0" encoding="utf-8"?>
<table xmlns="http://schemas.openxmlformats.org/spreadsheetml/2006/main" headerRowCount="0" ref="A1:Z96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etail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>
      <c r="A2" s="1" t="s">
        <v>6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6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6</v>
      </c>
      <c r="B4" s="3">
        <v>46082.0</v>
      </c>
      <c r="C4" s="1">
        <v>11.0</v>
      </c>
      <c r="D4" s="1">
        <v>3090.0</v>
      </c>
      <c r="E4" s="1">
        <v>280.909090909091</v>
      </c>
    </row>
    <row r="5">
      <c r="A5" s="1" t="s">
        <v>6</v>
      </c>
      <c r="B5" s="3">
        <v>46113.0</v>
      </c>
      <c r="C5" s="1">
        <v>13.0</v>
      </c>
      <c r="D5" s="1">
        <v>3115.0</v>
      </c>
      <c r="E5" s="1">
        <v>239.615384615385</v>
      </c>
    </row>
    <row r="6">
      <c r="A6" s="1" t="s">
        <v>6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6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7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7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7</v>
      </c>
      <c r="B10" s="3">
        <v>46082.0</v>
      </c>
      <c r="C10" s="1">
        <v>15.0</v>
      </c>
      <c r="D10" s="1">
        <v>3163.0</v>
      </c>
      <c r="E10" s="1">
        <v>210.866666666667</v>
      </c>
    </row>
    <row r="11">
      <c r="A11" s="1" t="s">
        <v>7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7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7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3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3">
        <v>46054.0</v>
      </c>
      <c r="C15" s="1">
        <v>13.0</v>
      </c>
      <c r="D15" s="1">
        <v>2090.0</v>
      </c>
      <c r="E15" s="1">
        <v>160.769230769231</v>
      </c>
    </row>
    <row r="16">
      <c r="A16" s="1" t="s">
        <v>8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3">
        <v>46174.0</v>
      </c>
      <c r="C19" s="1">
        <v>9.0</v>
      </c>
      <c r="D19" s="1">
        <v>1060.0</v>
      </c>
      <c r="E19" s="1">
        <v>117.777777777778</v>
      </c>
    </row>
    <row r="20">
      <c r="A20" s="1" t="s">
        <v>9</v>
      </c>
      <c r="B20" s="3">
        <v>46023.0</v>
      </c>
      <c r="C20" s="1">
        <v>10.0</v>
      </c>
      <c r="D20" s="1">
        <v>2099.0</v>
      </c>
      <c r="E20" s="1">
        <v>209.9</v>
      </c>
    </row>
    <row r="21">
      <c r="A21" s="1" t="s">
        <v>9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9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9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9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9</v>
      </c>
      <c r="B25" s="3">
        <v>46174.0</v>
      </c>
      <c r="C25" s="1">
        <v>12.0</v>
      </c>
      <c r="D25" s="1">
        <v>3650.0</v>
      </c>
      <c r="E25" s="1">
        <v>304.166666666667</v>
      </c>
    </row>
    <row r="26">
      <c r="A26" s="1" t="s">
        <v>12</v>
      </c>
      <c r="B26" s="3">
        <v>46023.0</v>
      </c>
      <c r="C26" s="1">
        <v>12.0</v>
      </c>
      <c r="D26" s="1">
        <v>3608.0</v>
      </c>
      <c r="E26" s="1">
        <v>300.666666666667</v>
      </c>
    </row>
    <row r="27">
      <c r="A27" s="1" t="s">
        <v>12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12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12</v>
      </c>
      <c r="B29" s="3">
        <v>46113.0</v>
      </c>
      <c r="C29" s="1">
        <v>9.0</v>
      </c>
      <c r="D29" s="1">
        <v>1970.0</v>
      </c>
      <c r="E29" s="1">
        <v>218.888888888889</v>
      </c>
    </row>
    <row r="30">
      <c r="A30" s="1" t="s">
        <v>12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12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15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15</v>
      </c>
      <c r="B33" s="3">
        <v>46054.0</v>
      </c>
      <c r="C33" s="1">
        <v>11.0</v>
      </c>
      <c r="D33" s="1">
        <v>1330.0</v>
      </c>
      <c r="E33" s="1">
        <v>120.909090909091</v>
      </c>
    </row>
    <row r="34">
      <c r="A34" s="1" t="s">
        <v>15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15</v>
      </c>
      <c r="B35" s="3">
        <v>46113.0</v>
      </c>
      <c r="C35" s="1">
        <v>19.0</v>
      </c>
      <c r="D35" s="1">
        <v>2980.0</v>
      </c>
      <c r="E35" s="1">
        <v>156.842105263158</v>
      </c>
    </row>
    <row r="36">
      <c r="A36" s="1" t="s">
        <v>15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15</v>
      </c>
      <c r="B37" s="3">
        <v>46174.0</v>
      </c>
      <c r="C37" s="1">
        <v>15.0</v>
      </c>
      <c r="D37" s="1">
        <v>1960.0</v>
      </c>
      <c r="E37" s="1">
        <v>130.666666666667</v>
      </c>
    </row>
    <row r="38">
      <c r="B3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</row>
    <row r="5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</row>
    <row r="5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</row>
    <row r="56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</row>
    <row r="57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</row>
    <row r="59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21</v>
      </c>
    </row>
    <row r="2">
      <c r="A2" s="1" t="s">
        <v>8</v>
      </c>
      <c r="B2" s="1">
        <v>12000.0</v>
      </c>
      <c r="C2" s="2">
        <f>SUMIF(monthly_category_revenue!A:A, A2, monthly_category_revenue!D:D)</f>
        <v>9790</v>
      </c>
    </row>
    <row r="3">
      <c r="A3" s="1" t="s">
        <v>7</v>
      </c>
      <c r="B3" s="1">
        <v>16500.0</v>
      </c>
      <c r="C3" s="2">
        <f>SUMIF(monthly_category_revenue!A:A, A3, monthly_category_revenue!D:D)</f>
        <v>14090</v>
      </c>
    </row>
    <row r="4">
      <c r="A4" s="1" t="s">
        <v>15</v>
      </c>
      <c r="B4" s="1">
        <v>13000.0</v>
      </c>
      <c r="C4" s="2">
        <f>SUMIF(monthly_category_revenue!A:A, A4, monthly_category_revenue!D:D)</f>
        <v>10895</v>
      </c>
    </row>
    <row r="5">
      <c r="A5" s="1" t="s">
        <v>12</v>
      </c>
      <c r="B5" s="1">
        <v>15500.0</v>
      </c>
      <c r="C5" s="2">
        <f>SUMIF(monthly_category_revenue!A:A, A5, monthly_category_revenue!D:D)</f>
        <v>16382</v>
      </c>
    </row>
    <row r="6">
      <c r="A6" s="1" t="s">
        <v>9</v>
      </c>
      <c r="B6" s="1">
        <v>17000.0</v>
      </c>
      <c r="C6" s="2">
        <f>SUMIF(monthly_category_revenue!A:A, A6, monthly_category_revenue!D:D)</f>
        <v>21715</v>
      </c>
    </row>
    <row r="7">
      <c r="A7" s="1" t="s">
        <v>6</v>
      </c>
      <c r="B7" s="1">
        <v>12000.0</v>
      </c>
      <c r="C7" s="2">
        <f>SUMIF(monthly_category_revenue!A:A, A7, monthly_category_revenue!D:D)</f>
        <v>15410</v>
      </c>
    </row>
  </sheetData>
  <drawing r:id="rId1"/>
</worksheet>
</file>